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4620" tabRatio="600" firstSheet="0" activeTab="3" autoFilterDateGrouping="1"/>
  </bookViews>
  <sheets>
    <sheet xmlns:r="http://schemas.openxmlformats.org/officeDocument/2006/relationships" name="Raw Data 3Y" sheetId="1" state="visible" r:id="rId1"/>
    <sheet xmlns:r="http://schemas.openxmlformats.org/officeDocument/2006/relationships" name="Analysis 3Y" sheetId="2" state="visible" r:id="rId2"/>
    <sheet xmlns:r="http://schemas.openxmlformats.org/officeDocument/2006/relationships" name="Raw Data 5Y" sheetId="3" state="visible" r:id="rId3"/>
    <sheet xmlns:r="http://schemas.openxmlformats.org/officeDocument/2006/relationships" name="Analysis 5Y" sheetId="4" state="visible" r:id="rId4"/>
  </sheets>
  <definedNames>
    <definedName name="_xlnm._FilterDatabase" localSheetId="0" hidden="1">'Raw Data 3Y'!$A$1:$AP$46</definedName>
    <definedName name="_xlnm._FilterDatabase" localSheetId="1" hidden="1">'Analysis 3Y'!$A$1:$AA$46</definedName>
    <definedName name="_xlnm._FilterDatabase" localSheetId="2" hidden="1">'Raw Data 5Y'!$A$1:$AL$46</definedName>
    <definedName name="_xlnm._FilterDatabase" localSheetId="3" hidden="1">'Analysis 5Y'!$A$1:$Y$46</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color theme="10"/>
      <sz val="12"/>
      <scheme val="minor"/>
    </font>
  </fonts>
  <fills count="4">
    <fill>
      <patternFill/>
    </fill>
    <fill>
      <patternFill patternType="gray125"/>
    </fill>
    <fill>
      <patternFill patternType="solid">
        <fgColor rgb="FF2E75B6"/>
        <bgColor rgb="FF2E75B6"/>
      </patternFill>
    </fill>
    <fill>
      <patternFill patternType="solid">
        <fgColor rgb="FF1F4E79"/>
        <bgColor rgb="FF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xf numFmtId="2" fontId="0" fillId="0" borderId="0" applyAlignment="1" pivotButton="0" quotePrefix="0" xfId="0">
      <alignment horizontal="center"/>
    </xf>
    <xf numFmtId="0" fontId="2" fillId="0" borderId="0" pivotButton="0" quotePrefix="0" xfId="1"/>
  </cellXfs>
  <cellStyles count="2">
    <cellStyle name="Normal" xfId="0" builtinId="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niftyindices.com/indices/equity/broad-based-indices/NIFTY--50" TargetMode="External" Id="rId1"/><Relationship Type="http://schemas.openxmlformats.org/officeDocument/2006/relationships/hyperlink" Target="https://www.niftyindices.com/indices/equity/broad-based-indices/NIFTY-Next-50" TargetMode="External" Id="rId2"/><Relationship Type="http://schemas.openxmlformats.org/officeDocument/2006/relationships/hyperlink" Target="https://www.niftyindices.com/indices/equity/broad-based-indices/niftysmallcap50" TargetMode="External" Id="rId3"/><Relationship Type="http://schemas.openxmlformats.org/officeDocument/2006/relationships/hyperlink" Target="https://www.niftyindices.com/indices/equity/broad-based-indices/nifty-midcap-150" TargetMode="External" Id="rId4"/><Relationship Type="http://schemas.openxmlformats.org/officeDocument/2006/relationships/hyperlink" Target="https://www.niftyindices.com/indices/equity/strategy-indices/nifty50-equal-weight" TargetMode="External" Id="rId5"/><Relationship Type="http://schemas.openxmlformats.org/officeDocument/2006/relationships/hyperlink" Target="https://www.niftyindices.com/indices/equity/broad-based-indices/nifty-100" TargetMode="External" Id="rId6"/><Relationship Type="http://schemas.openxmlformats.org/officeDocument/2006/relationships/hyperlink" Target="https://www.niftyindices.com/indices/equity/strategy-indices/nifty500-value50" TargetMode="External" Id="rId7"/><Relationship Type="http://schemas.openxmlformats.org/officeDocument/2006/relationships/hyperlink" Target="https://www.niftyindices.com/indices/equity/broad-based-indices/nifty-500" TargetMode="External" Id="rId8"/><Relationship Type="http://schemas.openxmlformats.org/officeDocument/2006/relationships/hyperlink" Target="https://www.niftyindices.com/indices/equity/broad-based-indices/nifty-midcap-50" TargetMode="External" Id="rId9"/><Relationship Type="http://schemas.openxmlformats.org/officeDocument/2006/relationships/hyperlink" Target="https://www.niftyindices.com/indices/equity/strategy-indices/nifty-alpha-50" TargetMode="External" Id="rId10"/><Relationship Type="http://schemas.openxmlformats.org/officeDocument/2006/relationships/hyperlink" Target="https://www.niftyindices.com/indices/equity/strategy-indices/nifty200-momentum-30-index" TargetMode="External" Id="rId11"/><Relationship Type="http://schemas.openxmlformats.org/officeDocument/2006/relationships/hyperlink" Target="https://www.niftyindices.com/indices/equity/broad-based-indices/niftysmallcap250" TargetMode="External" Id="rId12"/><Relationship Type="http://schemas.openxmlformats.org/officeDocument/2006/relationships/hyperlink" Target="https://www.niftyindices.com/indices/equity/strategy-indices/nifty-alpha-low-volatility-30" TargetMode="External" Id="rId13"/><Relationship Type="http://schemas.openxmlformats.org/officeDocument/2006/relationships/hyperlink" Target="https://www.niftyindices.com/indices/equity/strategy-indices/nifty-100-low-volatility" TargetMode="External" Id="rId14"/><Relationship Type="http://schemas.openxmlformats.org/officeDocument/2006/relationships/hyperlink" Target="https://www.niftyindices.com/indices/equity/strategy-indices/nifty500--momentum--50" TargetMode="External" Id="rId15"/><Relationship Type="http://schemas.openxmlformats.org/officeDocument/2006/relationships/hyperlink" Target="https://www.niftyindices.com/indices/equity/strategy-indices/nifty200-quality-30" TargetMode="External" Id="rId16"/><Relationship Type="http://schemas.openxmlformats.org/officeDocument/2006/relationships/hyperlink" Target="https://www.niftyindices.com/indices/equity/strategy-indices/nifty-smallcap250-quality50" TargetMode="External" Id="rId17"/><Relationship Type="http://schemas.openxmlformats.org/officeDocument/2006/relationships/hyperlink" Target="https://www.niftyindices.com/indices/equity/strategy-indices/nifty-top-10-equal-weight" TargetMode="External" Id="rId18"/><Relationship Type="http://schemas.openxmlformats.org/officeDocument/2006/relationships/hyperlink" Target="https://www.niftyindices.com/indices/equity/strategy-indices/nifty-midcap150-quality-50" TargetMode="External" Id="rId19"/><Relationship Type="http://schemas.openxmlformats.org/officeDocument/2006/relationships/hyperlink" Target="https://www.niftyindices.com/indices/equity/strategy-indices/nifty500-multicap-momentum-quality50" TargetMode="External" Id="rId20"/><Relationship Type="http://schemas.openxmlformats.org/officeDocument/2006/relationships/hyperlink" Target="https://www.niftyindices.com/indices/equity/broad-based-indices/nifty-largemidcap-250" TargetMode="External" Id="rId21"/><Relationship Type="http://schemas.openxmlformats.org/officeDocument/2006/relationships/hyperlink" Target="https://www.niftyindices.com/indices/equity/strategy-indices/nifty-midcap150-momentum-50" TargetMode="External" Id="rId22"/><Relationship Type="http://schemas.openxmlformats.org/officeDocument/2006/relationships/hyperlink" Target="https://www.niftyindices.com/indices/equity/broad-based-indices/nifty500-multicap-50-25-25-index" TargetMode="External" Id="rId23"/><Relationship Type="http://schemas.openxmlformats.org/officeDocument/2006/relationships/hyperlink" Target="https://www.niftyindices.com/indices/equity/strategy-indices/nifty-100-equal-weight" TargetMode="External" Id="rId24"/><Relationship Type="http://schemas.openxmlformats.org/officeDocument/2006/relationships/hyperlink" Target="https://www.niftyindices.com/indices/equity/strategy-indices/nifty200-value30" TargetMode="External" Id="rId25"/><Relationship Type="http://schemas.openxmlformats.org/officeDocument/2006/relationships/hyperlink" Target="https://www.niftyindices.com/indices/equity/strategy-indices/nifty-50-value-20" TargetMode="External" Id="rId26"/><Relationship Type="http://schemas.openxmlformats.org/officeDocument/2006/relationships/hyperlink" Target="https://www.niftyindices.com/indices/equity/strategy-indices/nifty500--equal--weight" TargetMode="External" Id="rId27"/><Relationship Type="http://schemas.openxmlformats.org/officeDocument/2006/relationships/hyperlink" Target="https://www.niftyindices.com/indices/equity/strategy-indices/nifty200-alpha-30" TargetMode="External" Id="rId28"/><Relationship Type="http://schemas.openxmlformats.org/officeDocument/2006/relationships/hyperlink" Target="https://www.niftyindices.com/indices/equity/broad-based-indices/nifty-200" TargetMode="External" Id="rId29"/><Relationship Type="http://schemas.openxmlformats.org/officeDocument/2006/relationships/hyperlink" Target="https://www.niftyindices.com/indices/equity/broad-based-indices/NIFTY-Midcap-100" TargetMode="External" Id="rId30"/><Relationship Type="http://schemas.openxmlformats.org/officeDocument/2006/relationships/hyperlink" Target="https://www.niftyindices.com/indices/equity/broad-based-indices/nifty-midsmallcap-400" TargetMode="External" Id="rId31"/><Relationship Type="http://schemas.openxmlformats.org/officeDocument/2006/relationships/hyperlink" Target="https://www.niftyindices.com/indices/equity/broad-based-indices/NIFTY-Smallcap-100" TargetMode="External" Id="rId32"/><Relationship Type="http://schemas.openxmlformats.org/officeDocument/2006/relationships/hyperlink" Target="https://www.niftyindices.com/indices/equity/broad-based-indices/nifty500-large-midsmall-equal-cap-weighted" TargetMode="External" Id="rId33"/><Relationship Type="http://schemas.openxmlformats.org/officeDocument/2006/relationships/hyperlink" Target="https://www.niftyindices.com/indices/equity/strategy-indices/nifty-alpha-quality-low-volatility30" TargetMode="External" Id="rId34"/><Relationship Type="http://schemas.openxmlformats.org/officeDocument/2006/relationships/hyperlink" Target="https://www.niftyindices.com/indices/equity/strategy-indices/nifty-alpha-quality-value-low-volatility30" TargetMode="External" Id="rId35"/><Relationship Type="http://schemas.openxmlformats.org/officeDocument/2006/relationships/hyperlink" Target="https://www.niftyindices.com/indices/equity/strategy-indices/nifty-high-beta50" TargetMode="External" Id="rId36"/><Relationship Type="http://schemas.openxmlformats.org/officeDocument/2006/relationships/hyperlink" Target="https://www.niftyindices.com/indices/equity/strategy-indices/nifty-low-volatility50" TargetMode="External" Id="rId37"/><Relationship Type="http://schemas.openxmlformats.org/officeDocument/2006/relationships/hyperlink" Target="https://www.niftyindices.com/indices/equity/strategy-indices/nifty-midsmallcap400-momentum-quality-100" TargetMode="External" Id="rId38"/><Relationship Type="http://schemas.openxmlformats.org/officeDocument/2006/relationships/hyperlink" Target="https://www.niftyindices.com/indices/equity/strategy-indices/nifty-quality-low-volatility30" TargetMode="External" Id="rId39"/><Relationship Type="http://schemas.openxmlformats.org/officeDocument/2006/relationships/hyperlink" Target="https://www.niftyindices.com/indices/equity/strategy-indices/nifty-smallcap250-momentum-quality-100" TargetMode="External" Id="rId40"/><Relationship Type="http://schemas.openxmlformats.org/officeDocument/2006/relationships/hyperlink" Target="https://www.niftyindices.com/indices/equity/strategy-indices/nifty-top15-equal-weight" TargetMode="External" Id="rId41"/><Relationship Type="http://schemas.openxmlformats.org/officeDocument/2006/relationships/hyperlink" Target="https://www.niftyindices.com/indices/equity/strategy-indices/nifty-top20-equal-weight" TargetMode="External" Id="rId42"/><Relationship Type="http://schemas.openxmlformats.org/officeDocument/2006/relationships/hyperlink" Target="https://www.niftyindices.com/indices/equity/strategy-indices/nifty100-alpha30" TargetMode="External" Id="rId43"/><Relationship Type="http://schemas.openxmlformats.org/officeDocument/2006/relationships/hyperlink" Target="https://www.niftyindices.com/indices/equity/strategy-indices/nifty500-low--volatility-50" TargetMode="External" Id="rId44"/><Relationship Type="http://schemas.openxmlformats.org/officeDocument/2006/relationships/hyperlink" Target="https://www.niftyindices.com/indices/equity/strategy-indices/nifty500--quality-50" TargetMode="External" Id="rId45"/></Relationships>
</file>

<file path=xl/worksheets/_rels/sheet4.xml.rels><Relationships xmlns="http://schemas.openxmlformats.org/package/2006/relationships"><Relationship Type="http://schemas.openxmlformats.org/officeDocument/2006/relationships/hyperlink" Target="https://www.niftyindices.com/indices/equity/broad-based-indices/NIFTY--50" TargetMode="External" Id="rId1"/><Relationship Type="http://schemas.openxmlformats.org/officeDocument/2006/relationships/hyperlink" Target="https://www.niftyindices.com/indices/equity/broad-based-indices/NIFTY-Next-50" TargetMode="External" Id="rId2"/><Relationship Type="http://schemas.openxmlformats.org/officeDocument/2006/relationships/hyperlink" Target="https://www.niftyindices.com/indices/equity/broad-based-indices/niftysmallcap50" TargetMode="External" Id="rId3"/><Relationship Type="http://schemas.openxmlformats.org/officeDocument/2006/relationships/hyperlink" Target="https://www.niftyindices.com/indices/equity/broad-based-indices/nifty-midcap-150" TargetMode="External" Id="rId4"/><Relationship Type="http://schemas.openxmlformats.org/officeDocument/2006/relationships/hyperlink" Target="https://www.niftyindices.com/indices/equity/strategy-indices/nifty50-equal-weight" TargetMode="External" Id="rId5"/><Relationship Type="http://schemas.openxmlformats.org/officeDocument/2006/relationships/hyperlink" Target="https://www.niftyindices.com/indices/equity/broad-based-indices/nifty-100" TargetMode="External" Id="rId6"/><Relationship Type="http://schemas.openxmlformats.org/officeDocument/2006/relationships/hyperlink" Target="https://www.niftyindices.com/indices/equity/strategy-indices/nifty500-value50" TargetMode="External" Id="rId7"/><Relationship Type="http://schemas.openxmlformats.org/officeDocument/2006/relationships/hyperlink" Target="https://www.niftyindices.com/indices/equity/broad-based-indices/nifty-500" TargetMode="External" Id="rId8"/><Relationship Type="http://schemas.openxmlformats.org/officeDocument/2006/relationships/hyperlink" Target="https://www.niftyindices.com/indices/equity/broad-based-indices/nifty-midcap-50" TargetMode="External" Id="rId9"/><Relationship Type="http://schemas.openxmlformats.org/officeDocument/2006/relationships/hyperlink" Target="https://www.niftyindices.com/indices/equity/strategy-indices/nifty-alpha-50" TargetMode="External" Id="rId10"/><Relationship Type="http://schemas.openxmlformats.org/officeDocument/2006/relationships/hyperlink" Target="https://www.niftyindices.com/indices/equity/strategy-indices/nifty200-momentum-30-index" TargetMode="External" Id="rId11"/><Relationship Type="http://schemas.openxmlformats.org/officeDocument/2006/relationships/hyperlink" Target="https://www.niftyindices.com/indices/equity/broad-based-indices/niftysmallcap250" TargetMode="External" Id="rId12"/><Relationship Type="http://schemas.openxmlformats.org/officeDocument/2006/relationships/hyperlink" Target="https://www.niftyindices.com/indices/equity/strategy-indices/nifty-alpha-low-volatility-30" TargetMode="External" Id="rId13"/><Relationship Type="http://schemas.openxmlformats.org/officeDocument/2006/relationships/hyperlink" Target="https://www.niftyindices.com/indices/equity/strategy-indices/nifty-100-low-volatility" TargetMode="External" Id="rId14"/><Relationship Type="http://schemas.openxmlformats.org/officeDocument/2006/relationships/hyperlink" Target="https://www.niftyindices.com/indices/equity/strategy-indices/nifty500--momentum--50" TargetMode="External" Id="rId15"/><Relationship Type="http://schemas.openxmlformats.org/officeDocument/2006/relationships/hyperlink" Target="https://www.niftyindices.com/indices/equity/strategy-indices/nifty200-quality-30" TargetMode="External" Id="rId16"/><Relationship Type="http://schemas.openxmlformats.org/officeDocument/2006/relationships/hyperlink" Target="https://www.niftyindices.com/indices/equity/strategy-indices/nifty-smallcap250-quality50" TargetMode="External" Id="rId17"/><Relationship Type="http://schemas.openxmlformats.org/officeDocument/2006/relationships/hyperlink" Target="https://www.niftyindices.com/indices/equity/strategy-indices/nifty-top-10-equal-weight" TargetMode="External" Id="rId18"/><Relationship Type="http://schemas.openxmlformats.org/officeDocument/2006/relationships/hyperlink" Target="https://www.niftyindices.com/indices/equity/strategy-indices/nifty-midcap150-quality-50" TargetMode="External" Id="rId19"/><Relationship Type="http://schemas.openxmlformats.org/officeDocument/2006/relationships/hyperlink" Target="https://www.niftyindices.com/indices/equity/strategy-indices/nifty500-multicap-momentum-quality50" TargetMode="External" Id="rId20"/><Relationship Type="http://schemas.openxmlformats.org/officeDocument/2006/relationships/hyperlink" Target="https://www.niftyindices.com/indices/equity/broad-based-indices/nifty-largemidcap-250" TargetMode="External" Id="rId21"/><Relationship Type="http://schemas.openxmlformats.org/officeDocument/2006/relationships/hyperlink" Target="https://www.niftyindices.com/indices/equity/strategy-indices/nifty-midcap150-momentum-50" TargetMode="External" Id="rId22"/><Relationship Type="http://schemas.openxmlformats.org/officeDocument/2006/relationships/hyperlink" Target="https://www.niftyindices.com/indices/equity/broad-based-indices/nifty500-multicap-50-25-25-index" TargetMode="External" Id="rId23"/><Relationship Type="http://schemas.openxmlformats.org/officeDocument/2006/relationships/hyperlink" Target="https://www.niftyindices.com/indices/equity/strategy-indices/nifty-100-equal-weight" TargetMode="External" Id="rId24"/><Relationship Type="http://schemas.openxmlformats.org/officeDocument/2006/relationships/hyperlink" Target="https://www.niftyindices.com/indices/equity/strategy-indices/nifty200-value30" TargetMode="External" Id="rId25"/><Relationship Type="http://schemas.openxmlformats.org/officeDocument/2006/relationships/hyperlink" Target="https://www.niftyindices.com/indices/equity/strategy-indices/nifty-50-value-20" TargetMode="External" Id="rId26"/><Relationship Type="http://schemas.openxmlformats.org/officeDocument/2006/relationships/hyperlink" Target="https://www.niftyindices.com/indices/equity/strategy-indices/nifty500--equal--weight" TargetMode="External" Id="rId27"/><Relationship Type="http://schemas.openxmlformats.org/officeDocument/2006/relationships/hyperlink" Target="https://www.niftyindices.com/indices/equity/strategy-indices/nifty200-alpha-30" TargetMode="External" Id="rId28"/><Relationship Type="http://schemas.openxmlformats.org/officeDocument/2006/relationships/hyperlink" Target="https://www.niftyindices.com/indices/equity/broad-based-indices/nifty-200" TargetMode="External" Id="rId29"/><Relationship Type="http://schemas.openxmlformats.org/officeDocument/2006/relationships/hyperlink" Target="https://www.niftyindices.com/indices/equity/broad-based-indices/NIFTY-Midcap-100" TargetMode="External" Id="rId30"/><Relationship Type="http://schemas.openxmlformats.org/officeDocument/2006/relationships/hyperlink" Target="https://www.niftyindices.com/indices/equity/broad-based-indices/nifty-midsmallcap-400" TargetMode="External" Id="rId31"/><Relationship Type="http://schemas.openxmlformats.org/officeDocument/2006/relationships/hyperlink" Target="https://www.niftyindices.com/indices/equity/broad-based-indices/NIFTY-Smallcap-100" TargetMode="External" Id="rId32"/><Relationship Type="http://schemas.openxmlformats.org/officeDocument/2006/relationships/hyperlink" Target="https://www.niftyindices.com/indices/equity/broad-based-indices/nifty500-large-midsmall-equal-cap-weighted" TargetMode="External" Id="rId33"/><Relationship Type="http://schemas.openxmlformats.org/officeDocument/2006/relationships/hyperlink" Target="https://www.niftyindices.com/indices/equity/strategy-indices/nifty-alpha-quality-low-volatility30" TargetMode="External" Id="rId34"/><Relationship Type="http://schemas.openxmlformats.org/officeDocument/2006/relationships/hyperlink" Target="https://www.niftyindices.com/indices/equity/strategy-indices/nifty-alpha-quality-value-low-volatility30" TargetMode="External" Id="rId35"/><Relationship Type="http://schemas.openxmlformats.org/officeDocument/2006/relationships/hyperlink" Target="https://www.niftyindices.com/indices/equity/strategy-indices/nifty-high-beta50" TargetMode="External" Id="rId36"/><Relationship Type="http://schemas.openxmlformats.org/officeDocument/2006/relationships/hyperlink" Target="https://www.niftyindices.com/indices/equity/strategy-indices/nifty-low-volatility50" TargetMode="External" Id="rId37"/><Relationship Type="http://schemas.openxmlformats.org/officeDocument/2006/relationships/hyperlink" Target="https://www.niftyindices.com/indices/equity/strategy-indices/nifty-midsmallcap400-momentum-quality-100" TargetMode="External" Id="rId38"/><Relationship Type="http://schemas.openxmlformats.org/officeDocument/2006/relationships/hyperlink" Target="https://www.niftyindices.com/indices/equity/strategy-indices/nifty-quality-low-volatility30" TargetMode="External" Id="rId39"/><Relationship Type="http://schemas.openxmlformats.org/officeDocument/2006/relationships/hyperlink" Target="https://www.niftyindices.com/indices/equity/strategy-indices/nifty-smallcap250-momentum-quality-100" TargetMode="External" Id="rId40"/><Relationship Type="http://schemas.openxmlformats.org/officeDocument/2006/relationships/hyperlink" Target="https://www.niftyindices.com/indices/equity/strategy-indices/nifty-top15-equal-weight" TargetMode="External" Id="rId41"/><Relationship Type="http://schemas.openxmlformats.org/officeDocument/2006/relationships/hyperlink" Target="https://www.niftyindices.com/indices/equity/strategy-indices/nifty-top20-equal-weight" TargetMode="External" Id="rId42"/><Relationship Type="http://schemas.openxmlformats.org/officeDocument/2006/relationships/hyperlink" Target="https://www.niftyindices.com/indices/equity/strategy-indices/nifty100-alpha30" TargetMode="External" Id="rId43"/><Relationship Type="http://schemas.openxmlformats.org/officeDocument/2006/relationships/hyperlink" Target="https://www.niftyindices.com/indices/equity/strategy-indices/nifty500-low--volatility-50" TargetMode="External" Id="rId44"/><Relationship Type="http://schemas.openxmlformats.org/officeDocument/2006/relationships/hyperlink" Target="https://www.niftyindices.com/indices/equity/strategy-indices/nifty500--quality-50" TargetMode="External" Id="rId45"/></Relationships>
</file>

<file path=xl/worksheets/sheet1.xml><?xml version="1.0" encoding="utf-8"?>
<worksheet xmlns="http://schemas.openxmlformats.org/spreadsheetml/2006/main">
  <sheetPr>
    <outlinePr summaryBelow="1" summaryRight="1"/>
    <pageSetUpPr/>
  </sheetPr>
  <dimension ref="A1:AQ46"/>
  <sheetViews>
    <sheetView workbookViewId="0">
      <pane xSplit="1" ySplit="1" topLeftCell="AC2" activePane="bottomRight" state="frozen"/>
      <selection pane="topRight" activeCell="A1" sqref="A1"/>
      <selection pane="bottomLeft" activeCell="A1" sqref="A1"/>
      <selection pane="bottomRight" activeCell="AP1" sqref="AP1"/>
    </sheetView>
  </sheetViews>
  <sheetFormatPr baseColWidth="8" defaultRowHeight="14.5"/>
  <cols>
    <col width="45" customWidth="1" min="1" max="1"/>
    <col width="60" customWidth="1" min="42" max="42"/>
    <col width="72" customWidth="1" min="43" max="43"/>
  </cols>
  <sheetData>
    <row r="1" ht="29" customHeight="1">
      <c r="A1" s="1" t="inlineStr">
        <is>
          <t>Index Name</t>
        </is>
      </c>
      <c r="B1" s="1" t="inlineStr">
        <is>
          <t>First TRI</t>
        </is>
      </c>
      <c r="C1" s="1" t="inlineStr">
        <is>
          <t>Last TRI</t>
        </is>
      </c>
      <c r="D1" s="1" t="inlineStr">
        <is>
          <t>Years</t>
        </is>
      </c>
      <c r="E1" s="1" t="inlineStr">
        <is>
          <t>Std Dev (%)</t>
        </is>
      </c>
      <c r="F1" s="1" t="inlineStr">
        <is>
          <t>P1 Start TRI</t>
        </is>
      </c>
      <c r="G1" s="1" t="inlineStr">
        <is>
          <t>P1 End TRI</t>
        </is>
      </c>
      <c r="H1" s="1" t="inlineStr">
        <is>
          <t>P2 Start TRI</t>
        </is>
      </c>
      <c r="I1" s="1" t="inlineStr">
        <is>
          <t>P2 End TRI</t>
        </is>
      </c>
      <c r="J1" s="1" t="inlineStr">
        <is>
          <t>P3 Start TRI</t>
        </is>
      </c>
      <c r="K1" s="1" t="inlineStr">
        <is>
          <t>P3 End TRI</t>
        </is>
      </c>
      <c r="L1" s="1" t="inlineStr">
        <is>
          <t>P4 Start TRI</t>
        </is>
      </c>
      <c r="M1" s="1" t="inlineStr">
        <is>
          <t>P4 End TRI</t>
        </is>
      </c>
      <c r="N1" s="1" t="inlineStr">
        <is>
          <t>P5 Start TRI</t>
        </is>
      </c>
      <c r="O1" s="1" t="inlineStr">
        <is>
          <t>P5 End TRI</t>
        </is>
      </c>
      <c r="P1" s="1" t="inlineStr">
        <is>
          <t>P6 Start TRI</t>
        </is>
      </c>
      <c r="Q1" s="1" t="inlineStr">
        <is>
          <t>P6 End TRI</t>
        </is>
      </c>
      <c r="R1" s="1" t="inlineStr">
        <is>
          <t>P7 Start TRI</t>
        </is>
      </c>
      <c r="S1" s="1" t="inlineStr">
        <is>
          <t>P7 End TRI</t>
        </is>
      </c>
      <c r="T1" s="1" t="inlineStr">
        <is>
          <t>P8 Start TRI</t>
        </is>
      </c>
      <c r="U1" s="1" t="inlineStr">
        <is>
          <t>P8 End TRI</t>
        </is>
      </c>
      <c r="V1" s="1" t="inlineStr">
        <is>
          <t>P9 Start TRI</t>
        </is>
      </c>
      <c r="W1" s="1" t="inlineStr">
        <is>
          <t>P9 End TRI</t>
        </is>
      </c>
      <c r="X1" s="1" t="inlineStr">
        <is>
          <t>P10 Start TRI</t>
        </is>
      </c>
      <c r="Y1" s="1" t="inlineStr">
        <is>
          <t>P10 End TRI</t>
        </is>
      </c>
      <c r="Z1" s="1" t="inlineStr">
        <is>
          <t>P11 Start TRI</t>
        </is>
      </c>
      <c r="AA1" s="1" t="inlineStr">
        <is>
          <t>P11 End TRI</t>
        </is>
      </c>
      <c r="AB1" s="1" t="inlineStr">
        <is>
          <t>P12 Start TRI</t>
        </is>
      </c>
      <c r="AC1" s="1" t="inlineStr">
        <is>
          <t>P12 End TRI</t>
        </is>
      </c>
      <c r="AD1" s="1" t="inlineStr">
        <is>
          <t>P13 Start TRI</t>
        </is>
      </c>
      <c r="AE1" s="1" t="inlineStr">
        <is>
          <t>P13 End TRI</t>
        </is>
      </c>
      <c r="AF1" s="1" t="inlineStr">
        <is>
          <t>P14 Start TRI</t>
        </is>
      </c>
      <c r="AG1" s="1" t="inlineStr">
        <is>
          <t>P14 End TRI</t>
        </is>
      </c>
      <c r="AH1" s="1" t="inlineStr">
        <is>
          <t>P15 Start TRI</t>
        </is>
      </c>
      <c r="AI1" s="1" t="inlineStr">
        <is>
          <t>P15 End TRI</t>
        </is>
      </c>
      <c r="AJ1" s="1" t="inlineStr">
        <is>
          <t>P16 Start TRI</t>
        </is>
      </c>
      <c r="AK1" s="1" t="inlineStr">
        <is>
          <t>P16 End TRI</t>
        </is>
      </c>
      <c r="AL1" s="1" t="inlineStr">
        <is>
          <t>P17 Start TRI</t>
        </is>
      </c>
      <c r="AM1" s="1" t="inlineStr">
        <is>
          <t>P17 End TRI</t>
        </is>
      </c>
      <c r="AN1" s="1" t="inlineStr">
        <is>
          <t>P18 Start TRI</t>
        </is>
      </c>
      <c r="AO1" s="1" t="inlineStr">
        <is>
          <t>P18 End TRI</t>
        </is>
      </c>
      <c r="AP1" s="1" t="inlineStr">
        <is>
          <t>AMCs</t>
        </is>
      </c>
      <c r="AQ1" s="1" t="inlineStr">
        <is>
          <t>Source</t>
        </is>
      </c>
    </row>
    <row r="2">
      <c r="A2" t="inlineStr">
        <is>
          <t>NIFTY 50</t>
        </is>
      </c>
      <c r="B2" t="n">
        <v>2406.95</v>
      </c>
      <c r="C2" t="n">
        <v>33655.43</v>
      </c>
      <c r="D2" t="n">
        <v>20.9938</v>
      </c>
      <c r="E2" t="n">
        <v>20.83</v>
      </c>
      <c r="F2" t="n">
        <v>2406.95</v>
      </c>
      <c r="G2" t="n">
        <v>5762.88</v>
      </c>
      <c r="H2" t="n">
        <v>4028.82</v>
      </c>
      <c r="I2" t="n">
        <v>3720.51</v>
      </c>
      <c r="J2" t="n">
        <v>4379.37</v>
      </c>
      <c r="K2" t="n">
        <v>6521.55</v>
      </c>
      <c r="L2" t="n">
        <v>5769.05</v>
      </c>
      <c r="M2" t="n">
        <v>7327.83</v>
      </c>
      <c r="N2" t="n">
        <v>3769.02</v>
      </c>
      <c r="O2" t="n">
        <v>6728.46</v>
      </c>
      <c r="P2" t="n">
        <v>6573</v>
      </c>
      <c r="Q2" t="n">
        <v>7343.48</v>
      </c>
      <c r="R2" t="n">
        <v>7318.19</v>
      </c>
      <c r="S2" t="n">
        <v>8739.91</v>
      </c>
      <c r="T2" t="n">
        <v>6756.86</v>
      </c>
      <c r="U2" t="n">
        <v>11201.99</v>
      </c>
      <c r="V2" t="n">
        <v>7343.48</v>
      </c>
      <c r="W2" t="n">
        <v>10325.5</v>
      </c>
      <c r="X2" t="n">
        <v>8761.860000000001</v>
      </c>
      <c r="Y2" t="n">
        <v>12406.69</v>
      </c>
      <c r="Z2" t="n">
        <v>11327.63</v>
      </c>
      <c r="AA2" t="n">
        <v>14000.07</v>
      </c>
      <c r="AB2" t="n">
        <v>10291.69</v>
      </c>
      <c r="AC2" t="n">
        <v>16208.94</v>
      </c>
      <c r="AD2" t="n">
        <v>12406.69</v>
      </c>
      <c r="AE2" t="n">
        <v>12105.66</v>
      </c>
      <c r="AF2" t="n">
        <v>14000.07</v>
      </c>
      <c r="AG2" t="n">
        <v>20886.52</v>
      </c>
      <c r="AH2" t="n">
        <v>16208.94</v>
      </c>
      <c r="AI2" t="n">
        <v>25118.14</v>
      </c>
      <c r="AJ2" t="n">
        <v>11621.35</v>
      </c>
      <c r="AK2" t="n">
        <v>25266.06</v>
      </c>
      <c r="AL2" t="n">
        <v>21137.69</v>
      </c>
      <c r="AM2" t="n">
        <v>33066.13</v>
      </c>
      <c r="AN2" t="n">
        <v>25413.94</v>
      </c>
      <c r="AO2" t="n">
        <v>34527.01</v>
      </c>
      <c r="AP2" t="inlineStr">
        <is>
          <t>Aditya Birla Sun Life Mutual Fund, Axis Mutual Fund, Bandhan Mutual Fund, Baroda BNP Paribas Mutual Fund, DSP Mutual Fund, Edelweiss Mutual Fund, Franklin Templeton Mutual Fund, HDFC Mutual Fund, HSBC Mutual Fund, ICICI Prudential Mutual Fund, Kotak Mahindra Mutual Fund, LIC Mutual Fund, Mirae Asset Mutual Fund, Motilal Oswal Mutual Fund, Navi Mutual Fund, Nippon India Mutual Fund, SBI Mutual Fund, Tata Mutual Fund, Taurus Mutual Fund, UTI Mutual Fund</t>
        </is>
      </c>
      <c r="AQ2" t="inlineStr">
        <is>
          <t>https://www.niftyindices.com/indices/equity/broad-based-indices/NIFTY--50</t>
        </is>
      </c>
    </row>
    <row r="3">
      <c r="A3" t="inlineStr">
        <is>
          <t>NIFTY NEXT 50</t>
        </is>
      </c>
      <c r="B3" t="n">
        <v>4957.2</v>
      </c>
      <c r="C3" t="n">
        <v>87002.31</v>
      </c>
      <c r="D3" t="n">
        <v>20.9938</v>
      </c>
      <c r="E3" t="n">
        <v>22.89</v>
      </c>
      <c r="F3" t="n">
        <v>4957.2</v>
      </c>
      <c r="G3" t="n">
        <v>9437.139999999999</v>
      </c>
      <c r="H3" t="n">
        <v>7412.75</v>
      </c>
      <c r="I3" t="n">
        <v>5195.93</v>
      </c>
      <c r="J3" t="n">
        <v>7729.7</v>
      </c>
      <c r="K3" t="n">
        <v>13031.01</v>
      </c>
      <c r="L3" t="n">
        <v>9341.23</v>
      </c>
      <c r="M3" t="n">
        <v>13783.59</v>
      </c>
      <c r="N3" t="n">
        <v>5257.9</v>
      </c>
      <c r="O3" t="n">
        <v>12923.81</v>
      </c>
      <c r="P3" t="n">
        <v>13098.26</v>
      </c>
      <c r="Q3" t="n">
        <v>14170.03</v>
      </c>
      <c r="R3" t="n">
        <v>13883.06</v>
      </c>
      <c r="S3" t="n">
        <v>17112.8</v>
      </c>
      <c r="T3" t="n">
        <v>13028.02</v>
      </c>
      <c r="U3" t="n">
        <v>24919.87</v>
      </c>
      <c r="V3" t="n">
        <v>14170.03</v>
      </c>
      <c r="W3" t="n">
        <v>24368.02</v>
      </c>
      <c r="X3" t="n">
        <v>17056.76</v>
      </c>
      <c r="Y3" t="n">
        <v>33190.87</v>
      </c>
      <c r="Z3" t="n">
        <v>25166.74</v>
      </c>
      <c r="AA3" t="n">
        <v>39036.24</v>
      </c>
      <c r="AB3" t="n">
        <v>24374.11</v>
      </c>
      <c r="AC3" t="n">
        <v>38414.93</v>
      </c>
      <c r="AD3" t="n">
        <v>33190.87</v>
      </c>
      <c r="AE3" t="n">
        <v>28998.12</v>
      </c>
      <c r="AF3" t="n">
        <v>39036.24</v>
      </c>
      <c r="AG3" t="n">
        <v>47248.21</v>
      </c>
      <c r="AH3" t="n">
        <v>38414.93</v>
      </c>
      <c r="AI3" t="n">
        <v>57445.19</v>
      </c>
      <c r="AJ3" t="n">
        <v>28377.76</v>
      </c>
      <c r="AK3" t="n">
        <v>53231.02</v>
      </c>
      <c r="AL3" t="n">
        <v>47957.81</v>
      </c>
      <c r="AM3" t="n">
        <v>87345.98</v>
      </c>
      <c r="AN3" t="n">
        <v>58337.52</v>
      </c>
      <c r="AO3" t="n">
        <v>89043.92</v>
      </c>
      <c r="AP3" t="inlineStr">
        <is>
          <t>Aditya Birla Sun Life Mutual Fund, Axis Mutual Fund, DSP Mutual Fund, Edelweiss Mutual Fund, HDFC Mutual Fund, HSBC Mutual Fund, ICICI Prudential Mutual Fund, Kotak Mahindra Mutual Fund, LIC Mutual Fund, Motilal Oswal Mutual Fund, Navi Mutual Fund, SBI Mutual Fund, UTI Mutual Fund</t>
        </is>
      </c>
      <c r="AQ3" t="inlineStr">
        <is>
          <t>https://www.niftyindices.com/indices/equity/broad-based-indices/NIFTY-Next-50</t>
        </is>
      </c>
    </row>
    <row r="4">
      <c r="A4" t="inlineStr">
        <is>
          <t>NIFTY SMALLCAP 50</t>
        </is>
      </c>
      <c r="B4" t="n">
        <v>1000</v>
      </c>
      <c r="C4" t="n">
        <v>9332.540000000001</v>
      </c>
      <c r="D4" t="n">
        <v>20.9938</v>
      </c>
      <c r="E4" t="n">
        <v>25.13</v>
      </c>
      <c r="F4" t="n">
        <v>1000</v>
      </c>
      <c r="G4" t="n">
        <v>2538.13</v>
      </c>
      <c r="H4" t="n">
        <v>1694.27</v>
      </c>
      <c r="I4" t="n">
        <v>1057.83</v>
      </c>
      <c r="J4" t="n">
        <v>1797.3</v>
      </c>
      <c r="K4" t="n">
        <v>2542.74</v>
      </c>
      <c r="L4" t="n">
        <v>2523.48</v>
      </c>
      <c r="M4" t="n">
        <v>2352.08</v>
      </c>
      <c r="N4" t="n">
        <v>1088.87</v>
      </c>
      <c r="O4" t="n">
        <v>2054.18</v>
      </c>
      <c r="P4" t="n">
        <v>2583.92</v>
      </c>
      <c r="Q4" t="n">
        <v>1868.02</v>
      </c>
      <c r="R4" t="n">
        <v>2398.3</v>
      </c>
      <c r="S4" t="n">
        <v>2253.8</v>
      </c>
      <c r="T4" t="n">
        <v>2075.48</v>
      </c>
      <c r="U4" t="n">
        <v>3514.44</v>
      </c>
      <c r="V4" t="n">
        <v>1868.02</v>
      </c>
      <c r="W4" t="n">
        <v>3041.78</v>
      </c>
      <c r="X4" t="n">
        <v>2257.54</v>
      </c>
      <c r="Y4" t="n">
        <v>4418.79</v>
      </c>
      <c r="Z4" t="n">
        <v>3593.45</v>
      </c>
      <c r="AA4" t="n">
        <v>4738.62</v>
      </c>
      <c r="AB4" t="n">
        <v>3089.9</v>
      </c>
      <c r="AC4" t="n">
        <v>3862.09</v>
      </c>
      <c r="AD4" t="n">
        <v>4418.79</v>
      </c>
      <c r="AE4" t="n">
        <v>2077.61</v>
      </c>
      <c r="AF4" t="n">
        <v>4738.62</v>
      </c>
      <c r="AG4" t="n">
        <v>4868.87</v>
      </c>
      <c r="AH4" t="n">
        <v>3862.09</v>
      </c>
      <c r="AI4" t="n">
        <v>5819.53</v>
      </c>
      <c r="AJ4" t="n">
        <v>2028.59</v>
      </c>
      <c r="AK4" t="n">
        <v>5015.03</v>
      </c>
      <c r="AL4" t="n">
        <v>4959.47</v>
      </c>
      <c r="AM4" t="n">
        <v>8909.440000000001</v>
      </c>
      <c r="AN4" t="n">
        <v>5931.78</v>
      </c>
      <c r="AO4" t="n">
        <v>9505.98</v>
      </c>
      <c r="AP4" t="inlineStr">
        <is>
          <t>Aditya Birla Sun Life Mutual Fund, Axis Mutual Fund, Kotak Mahindra Mutual Fund</t>
        </is>
      </c>
      <c r="AQ4" t="inlineStr">
        <is>
          <t>https://www.niftyindices.com/indices/equity/broad-based-indices/niftysmallcap50</t>
        </is>
      </c>
    </row>
    <row r="5">
      <c r="A5" t="inlineStr">
        <is>
          <t>NIFTY MIDCAP 150</t>
        </is>
      </c>
      <c r="B5" t="n">
        <v>1000</v>
      </c>
      <c r="C5" t="n">
        <v>24753.21</v>
      </c>
      <c r="D5" t="n">
        <v>20.9938</v>
      </c>
      <c r="E5" t="n">
        <v>20.9</v>
      </c>
      <c r="F5" t="n">
        <v>1000</v>
      </c>
      <c r="G5" t="n">
        <v>2100.28</v>
      </c>
      <c r="H5" t="n">
        <v>1747.55</v>
      </c>
      <c r="I5" t="n">
        <v>1081.17</v>
      </c>
      <c r="J5" t="n">
        <v>1673.19</v>
      </c>
      <c r="K5" t="n">
        <v>2549.07</v>
      </c>
      <c r="L5" t="n">
        <v>2087.33</v>
      </c>
      <c r="M5" t="n">
        <v>2670.01</v>
      </c>
      <c r="N5" t="n">
        <v>1097.34</v>
      </c>
      <c r="O5" t="n">
        <v>2546.99</v>
      </c>
      <c r="P5" t="n">
        <v>2576.84</v>
      </c>
      <c r="Q5" t="n">
        <v>2688.28</v>
      </c>
      <c r="R5" t="n">
        <v>2706.96</v>
      </c>
      <c r="S5" t="n">
        <v>3140.17</v>
      </c>
      <c r="T5" t="n">
        <v>2571.54</v>
      </c>
      <c r="U5" t="n">
        <v>5015.68</v>
      </c>
      <c r="V5" t="n">
        <v>2688.28</v>
      </c>
      <c r="W5" t="n">
        <v>4931.69</v>
      </c>
      <c r="X5" t="n">
        <v>3134.34</v>
      </c>
      <c r="Y5" t="n">
        <v>6766.76</v>
      </c>
      <c r="Z5" t="n">
        <v>5076.14</v>
      </c>
      <c r="AA5" t="n">
        <v>8017.18</v>
      </c>
      <c r="AB5" t="n">
        <v>4956.96</v>
      </c>
      <c r="AC5" t="n">
        <v>7865.64</v>
      </c>
      <c r="AD5" t="n">
        <v>6766.76</v>
      </c>
      <c r="AE5" t="n">
        <v>5483.52</v>
      </c>
      <c r="AF5" t="n">
        <v>8017.18</v>
      </c>
      <c r="AG5" t="n">
        <v>11052.87</v>
      </c>
      <c r="AH5" t="n">
        <v>7865.64</v>
      </c>
      <c r="AI5" t="n">
        <v>13821.4</v>
      </c>
      <c r="AJ5" t="n">
        <v>5383.93</v>
      </c>
      <c r="AK5" t="n">
        <v>14203.8</v>
      </c>
      <c r="AL5" t="n">
        <v>11225.99</v>
      </c>
      <c r="AM5" t="n">
        <v>22777.89</v>
      </c>
      <c r="AN5" t="n">
        <v>13997.36</v>
      </c>
      <c r="AO5" t="n">
        <v>23964.87</v>
      </c>
      <c r="AP5" t="inlineStr">
        <is>
          <t>Aditya Birla Sun Life Mutual Fund, Bandhan Mutual Fund, Baroda BNP Paribas Mutual Fund, HDFC Mutual Fund, ICICI Prudential Mutual Fund, Motilal Oswal Mutual Fund, Navi Mutual Fund, Nippon India Mutual Fund, SBI Mutual Fund, UTI Mutual Fund</t>
        </is>
      </c>
      <c r="AQ5" t="inlineStr">
        <is>
          <t>https://www.niftyindices.com/indices/equity/broad-based-indices/nifty-midcap-150</t>
        </is>
      </c>
    </row>
    <row r="6">
      <c r="A6" t="inlineStr">
        <is>
          <t>NIFTY50 EQUAL WEIGHT</t>
        </is>
      </c>
      <c r="B6" t="n">
        <v>3130.41</v>
      </c>
      <c r="C6" t="n">
        <v>50846.14</v>
      </c>
      <c r="D6" t="n">
        <v>20.9938</v>
      </c>
      <c r="E6" t="n">
        <v>20.81</v>
      </c>
      <c r="F6" t="n">
        <v>3130.41</v>
      </c>
      <c r="G6" t="n">
        <v>7585.11</v>
      </c>
      <c r="H6" t="n">
        <v>5467.38</v>
      </c>
      <c r="I6" t="n">
        <v>4742.68</v>
      </c>
      <c r="J6" t="n">
        <v>5487.03</v>
      </c>
      <c r="K6" t="n">
        <v>9653.98</v>
      </c>
      <c r="L6" t="n">
        <v>7585.04</v>
      </c>
      <c r="M6" t="n">
        <v>10429.35</v>
      </c>
      <c r="N6" t="n">
        <v>4806.96</v>
      </c>
      <c r="O6" t="n">
        <v>9954.07</v>
      </c>
      <c r="P6" t="n">
        <v>9694.48</v>
      </c>
      <c r="Q6" t="n">
        <v>10147.56</v>
      </c>
      <c r="R6" t="n">
        <v>10473.84</v>
      </c>
      <c r="S6" t="n">
        <v>12144.71</v>
      </c>
      <c r="T6" t="n">
        <v>10022.18</v>
      </c>
      <c r="U6" t="n">
        <v>15594.28</v>
      </c>
      <c r="V6" t="n">
        <v>10147.56</v>
      </c>
      <c r="W6" t="n">
        <v>14116.54</v>
      </c>
      <c r="X6" t="n">
        <v>12163.69</v>
      </c>
      <c r="Y6" t="n">
        <v>17391.88</v>
      </c>
      <c r="Z6" t="n">
        <v>15778.95</v>
      </c>
      <c r="AA6" t="n">
        <v>18792.24</v>
      </c>
      <c r="AB6" t="n">
        <v>14057.11</v>
      </c>
      <c r="AC6" t="n">
        <v>20117.03</v>
      </c>
      <c r="AD6" t="n">
        <v>17391.88</v>
      </c>
      <c r="AE6" t="n">
        <v>13717.68</v>
      </c>
      <c r="AF6" t="n">
        <v>18792.24</v>
      </c>
      <c r="AG6" t="n">
        <v>25886.34</v>
      </c>
      <c r="AH6" t="n">
        <v>20117.03</v>
      </c>
      <c r="AI6" t="n">
        <v>32000.07</v>
      </c>
      <c r="AJ6" t="n">
        <v>13264.76</v>
      </c>
      <c r="AK6" t="n">
        <v>32697.24</v>
      </c>
      <c r="AL6" t="n">
        <v>26306.38</v>
      </c>
      <c r="AM6" t="n">
        <v>47716.78</v>
      </c>
      <c r="AN6" t="n">
        <v>32391.15</v>
      </c>
      <c r="AO6" t="n">
        <v>49403.22</v>
      </c>
      <c r="AP6" t="inlineStr">
        <is>
          <t>Aditya Birla Sun Life Mutual Fund, DSP Mutual Fund, HDFC Mutual Fund, ICICI Prudential Mutual Fund, Kotak Mahindra Mutual Fund, SBI Mutual Fund, UTI Mutual Fund</t>
        </is>
      </c>
      <c r="AQ6" t="inlineStr">
        <is>
          <t>https://www.niftyindices.com/indices/equity/strategy-indices/nifty50-equal-weight</t>
        </is>
      </c>
    </row>
    <row r="7">
      <c r="A7" t="inlineStr">
        <is>
          <t>NIFTY 100</t>
        </is>
      </c>
      <c r="B7" t="n">
        <v>2158.39</v>
      </c>
      <c r="C7" t="n">
        <v>31501.34</v>
      </c>
      <c r="D7" t="n">
        <v>20.9938</v>
      </c>
      <c r="E7" t="n">
        <v>20.77</v>
      </c>
      <c r="F7" t="n">
        <v>2158.39</v>
      </c>
      <c r="G7" t="n">
        <v>5010.91</v>
      </c>
      <c r="H7" t="n">
        <v>3562.96</v>
      </c>
      <c r="I7" t="n">
        <v>3174.52</v>
      </c>
      <c r="J7" t="n">
        <v>3850.12</v>
      </c>
      <c r="K7" t="n">
        <v>5868.77</v>
      </c>
      <c r="L7" t="n">
        <v>5008.53</v>
      </c>
      <c r="M7" t="n">
        <v>6538.02</v>
      </c>
      <c r="N7" t="n">
        <v>3215.47</v>
      </c>
      <c r="O7" t="n">
        <v>6027.9</v>
      </c>
      <c r="P7" t="n">
        <v>5912.5</v>
      </c>
      <c r="Q7" t="n">
        <v>6588.79</v>
      </c>
      <c r="R7" t="n">
        <v>6537.94</v>
      </c>
      <c r="S7" t="n">
        <v>7866.04</v>
      </c>
      <c r="T7" t="n">
        <v>6057.04</v>
      </c>
      <c r="U7" t="n">
        <v>10285.91</v>
      </c>
      <c r="V7" t="n">
        <v>6588.79</v>
      </c>
      <c r="W7" t="n">
        <v>9577.129999999999</v>
      </c>
      <c r="X7" t="n">
        <v>7879.43</v>
      </c>
      <c r="Y7" t="n">
        <v>11741.07</v>
      </c>
      <c r="Z7" t="n">
        <v>10399.2</v>
      </c>
      <c r="AA7" t="n">
        <v>13323.87</v>
      </c>
      <c r="AB7" t="n">
        <v>9550.870000000001</v>
      </c>
      <c r="AC7" t="n">
        <v>15070.64</v>
      </c>
      <c r="AD7" t="n">
        <v>11741.07</v>
      </c>
      <c r="AE7" t="n">
        <v>11271.15</v>
      </c>
      <c r="AF7" t="n">
        <v>13323.87</v>
      </c>
      <c r="AG7" t="n">
        <v>19294.06</v>
      </c>
      <c r="AH7" t="n">
        <v>15070.64</v>
      </c>
      <c r="AI7" t="n">
        <v>23273.69</v>
      </c>
      <c r="AJ7" t="n">
        <v>10849.01</v>
      </c>
      <c r="AK7" t="n">
        <v>22905.08</v>
      </c>
      <c r="AL7" t="n">
        <v>19535.92</v>
      </c>
      <c r="AM7" t="n">
        <v>31124.63</v>
      </c>
      <c r="AN7" t="n">
        <v>23562.55</v>
      </c>
      <c r="AO7" t="n">
        <v>32302.55</v>
      </c>
      <c r="AP7" t="inlineStr">
        <is>
          <t>Axis Mutual Fund, Bandhan Mutual Fund, HDFC Mutual Fund</t>
        </is>
      </c>
      <c r="AQ7" t="inlineStr">
        <is>
          <t>https://www.niftyindices.com/indices/equity/broad-based-indices/nifty-100</t>
        </is>
      </c>
    </row>
    <row r="8">
      <c r="A8" t="inlineStr">
        <is>
          <t>NIFTY500 VALUE 50</t>
        </is>
      </c>
      <c r="B8" t="n">
        <v>1000</v>
      </c>
      <c r="C8" t="n">
        <v>25278.73</v>
      </c>
      <c r="D8" t="n">
        <v>20.9938</v>
      </c>
      <c r="E8" t="n">
        <v>25.76</v>
      </c>
      <c r="F8" t="n">
        <v>1000</v>
      </c>
      <c r="G8" t="n">
        <v>1906.04</v>
      </c>
      <c r="H8" t="n">
        <v>1373.57</v>
      </c>
      <c r="I8" t="n">
        <v>1190.74</v>
      </c>
      <c r="J8" t="n">
        <v>1365.18</v>
      </c>
      <c r="K8" t="n">
        <v>3119.05</v>
      </c>
      <c r="L8" t="n">
        <v>1903.2</v>
      </c>
      <c r="M8" t="n">
        <v>3511.15</v>
      </c>
      <c r="N8" t="n">
        <v>1213.72</v>
      </c>
      <c r="O8" t="n">
        <v>3256.21</v>
      </c>
      <c r="P8" t="n">
        <v>3137.35</v>
      </c>
      <c r="Q8" t="n">
        <v>2675.91</v>
      </c>
      <c r="R8" t="n">
        <v>3554.89</v>
      </c>
      <c r="S8" t="n">
        <v>3190.91</v>
      </c>
      <c r="T8" t="n">
        <v>3276.44</v>
      </c>
      <c r="U8" t="n">
        <v>4887.63</v>
      </c>
      <c r="V8" t="n">
        <v>2675.91</v>
      </c>
      <c r="W8" t="n">
        <v>4450.96</v>
      </c>
      <c r="X8" t="n">
        <v>3197.17</v>
      </c>
      <c r="Y8" t="n">
        <v>7190.09</v>
      </c>
      <c r="Z8" t="n">
        <v>4973.28</v>
      </c>
      <c r="AA8" t="n">
        <v>7315.78</v>
      </c>
      <c r="AB8" t="n">
        <v>4490.09</v>
      </c>
      <c r="AC8" t="n">
        <v>6753.1</v>
      </c>
      <c r="AD8" t="n">
        <v>7190.09</v>
      </c>
      <c r="AE8" t="n">
        <v>3462.04</v>
      </c>
      <c r="AF8" t="n">
        <v>7315.78</v>
      </c>
      <c r="AG8" t="n">
        <v>7228.44</v>
      </c>
      <c r="AH8" t="n">
        <v>6753.1</v>
      </c>
      <c r="AI8" t="n">
        <v>10098.45</v>
      </c>
      <c r="AJ8" t="n">
        <v>3404.89</v>
      </c>
      <c r="AK8" t="n">
        <v>11185.1</v>
      </c>
      <c r="AL8" t="n">
        <v>7426.9</v>
      </c>
      <c r="AM8" t="n">
        <v>21309.39</v>
      </c>
      <c r="AN8" t="n">
        <v>10349.92</v>
      </c>
      <c r="AO8" t="n">
        <v>22190.99</v>
      </c>
      <c r="AP8" t="inlineStr">
        <is>
          <t>Axis Mutual Fund, Bandhan Mutual Fund, UTI Mutual Fund</t>
        </is>
      </c>
      <c r="AQ8" t="inlineStr">
        <is>
          <t>https://www.niftyindices.com/indices/equity/strategy-indices/nifty500-value50</t>
        </is>
      </c>
    </row>
    <row r="9">
      <c r="A9" t="inlineStr">
        <is>
          <t>NIFTY 500</t>
        </is>
      </c>
      <c r="B9" t="n">
        <v>2250.1</v>
      </c>
      <c r="C9" t="n">
        <v>32813.14</v>
      </c>
      <c r="D9" t="n">
        <v>20.9938</v>
      </c>
      <c r="E9" t="n">
        <v>20.27</v>
      </c>
      <c r="F9" t="n">
        <v>2250.1</v>
      </c>
      <c r="G9" t="n">
        <v>4996.1</v>
      </c>
      <c r="H9" t="n">
        <v>3696.06</v>
      </c>
      <c r="I9" t="n">
        <v>3042.29</v>
      </c>
      <c r="J9" t="n">
        <v>3889.07</v>
      </c>
      <c r="K9" t="n">
        <v>5781.09</v>
      </c>
      <c r="L9" t="n">
        <v>4985.13</v>
      </c>
      <c r="M9" t="n">
        <v>6264</v>
      </c>
      <c r="N9" t="n">
        <v>3081.93</v>
      </c>
      <c r="O9" t="n">
        <v>5778.58</v>
      </c>
      <c r="P9" t="n">
        <v>5823.93</v>
      </c>
      <c r="Q9" t="n">
        <v>6186.03</v>
      </c>
      <c r="R9" t="n">
        <v>6282.41</v>
      </c>
      <c r="S9" t="n">
        <v>7327.4</v>
      </c>
      <c r="T9" t="n">
        <v>5813</v>
      </c>
      <c r="U9" t="n">
        <v>9887.5</v>
      </c>
      <c r="V9" t="n">
        <v>6186.03</v>
      </c>
      <c r="W9" t="n">
        <v>9239.92</v>
      </c>
      <c r="X9" t="n">
        <v>7338.75</v>
      </c>
      <c r="Y9" t="n">
        <v>11598.65</v>
      </c>
      <c r="Z9" t="n">
        <v>10003.76</v>
      </c>
      <c r="AA9" t="n">
        <v>13254.74</v>
      </c>
      <c r="AB9" t="n">
        <v>9230.34</v>
      </c>
      <c r="AC9" t="n">
        <v>14421.49</v>
      </c>
      <c r="AD9" t="n">
        <v>11598.65</v>
      </c>
      <c r="AE9" t="n">
        <v>10540.43</v>
      </c>
      <c r="AF9" t="n">
        <v>13254.74</v>
      </c>
      <c r="AG9" t="n">
        <v>18717.24</v>
      </c>
      <c r="AH9" t="n">
        <v>14421.49</v>
      </c>
      <c r="AI9" t="n">
        <v>22889.14</v>
      </c>
      <c r="AJ9" t="n">
        <v>10186.74</v>
      </c>
      <c r="AK9" t="n">
        <v>22609.54</v>
      </c>
      <c r="AL9" t="n">
        <v>18968.55</v>
      </c>
      <c r="AM9" t="n">
        <v>32135.55</v>
      </c>
      <c r="AN9" t="n">
        <v>23185.39</v>
      </c>
      <c r="AO9" t="n">
        <v>33361.96</v>
      </c>
      <c r="AP9" t="inlineStr">
        <is>
          <t>Axis Mutual Fund, ICICI Prudential Mutual Fund, Motilal Oswal Mutual Fund, SBI Mutual Fund</t>
        </is>
      </c>
      <c r="AQ9" t="inlineStr">
        <is>
          <t>https://www.niftyindices.com/indices/equity/broad-based-indices/nifty-500</t>
        </is>
      </c>
    </row>
    <row r="10">
      <c r="A10" t="inlineStr">
        <is>
          <t>NIFTY MIDCAP 50</t>
        </is>
      </c>
      <c r="B10" t="n">
        <v>1355.71</v>
      </c>
      <c r="C10" t="n">
        <v>19671.49</v>
      </c>
      <c r="D10" t="n">
        <v>20.9938</v>
      </c>
      <c r="E10" t="n">
        <v>25.07</v>
      </c>
      <c r="F10" t="n">
        <v>1355.71</v>
      </c>
      <c r="G10" t="n">
        <v>2533.08</v>
      </c>
      <c r="H10" t="n">
        <v>2263.82</v>
      </c>
      <c r="I10" t="n">
        <v>1265.56</v>
      </c>
      <c r="J10" t="n">
        <v>1953.89</v>
      </c>
      <c r="K10" t="n">
        <v>2963.96</v>
      </c>
      <c r="L10" t="n">
        <v>2532.6</v>
      </c>
      <c r="M10" t="n">
        <v>2788.94</v>
      </c>
      <c r="N10" t="n">
        <v>1287.56</v>
      </c>
      <c r="O10" t="n">
        <v>2599.29</v>
      </c>
      <c r="P10" t="n">
        <v>2985.95</v>
      </c>
      <c r="Q10" t="n">
        <v>2256.23</v>
      </c>
      <c r="R10" t="n">
        <v>2824.1</v>
      </c>
      <c r="S10" t="n">
        <v>2882.42</v>
      </c>
      <c r="T10" t="n">
        <v>2620.39</v>
      </c>
      <c r="U10" t="n">
        <v>3981.31</v>
      </c>
      <c r="V10" t="n">
        <v>2256.23</v>
      </c>
      <c r="W10" t="n">
        <v>3835.53</v>
      </c>
      <c r="X10" t="n">
        <v>2867.75</v>
      </c>
      <c r="Y10" t="n">
        <v>5308.47</v>
      </c>
      <c r="Z10" t="n">
        <v>4037.1</v>
      </c>
      <c r="AA10" t="n">
        <v>6193.61</v>
      </c>
      <c r="AB10" t="n">
        <v>3864.49</v>
      </c>
      <c r="AC10" t="n">
        <v>6273.01</v>
      </c>
      <c r="AD10" t="n">
        <v>5308.47</v>
      </c>
      <c r="AE10" t="n">
        <v>3974.08</v>
      </c>
      <c r="AF10" t="n">
        <v>6193.61</v>
      </c>
      <c r="AG10" t="n">
        <v>8531.23</v>
      </c>
      <c r="AH10" t="n">
        <v>6273.01</v>
      </c>
      <c r="AI10" t="n">
        <v>10440.43</v>
      </c>
      <c r="AJ10" t="n">
        <v>3867.67</v>
      </c>
      <c r="AK10" t="n">
        <v>10909.66</v>
      </c>
      <c r="AL10" t="n">
        <v>8714.17</v>
      </c>
      <c r="AM10" t="n">
        <v>17891.38</v>
      </c>
      <c r="AN10" t="n">
        <v>10599.85</v>
      </c>
      <c r="AO10" t="n">
        <v>18816.26</v>
      </c>
      <c r="AP10" t="inlineStr">
        <is>
          <t>Axis Mutual Fund, Kotak Mahindra Mutual Fund</t>
        </is>
      </c>
      <c r="AQ10" t="inlineStr">
        <is>
          <t>https://www.niftyindices.com/indices/equity/broad-based-indices/nifty-midcap-50</t>
        </is>
      </c>
    </row>
    <row r="11">
      <c r="A11" t="inlineStr">
        <is>
          <t>NIFTY ALPHA 50</t>
        </is>
      </c>
      <c r="B11" t="n">
        <v>1618.46</v>
      </c>
      <c r="C11" t="n">
        <v>54184.6</v>
      </c>
      <c r="D11" t="n">
        <v>20.9938</v>
      </c>
      <c r="E11" t="n">
        <v>24.71</v>
      </c>
      <c r="F11" t="n">
        <v>1618.46</v>
      </c>
      <c r="G11" t="n">
        <v>4261.95</v>
      </c>
      <c r="H11" t="n">
        <v>3181.88</v>
      </c>
      <c r="I11" t="n">
        <v>1880.66</v>
      </c>
      <c r="J11" t="n">
        <v>3227.58</v>
      </c>
      <c r="K11" t="n">
        <v>3744.73</v>
      </c>
      <c r="L11" t="n">
        <v>4259.06</v>
      </c>
      <c r="M11" t="n">
        <v>4032.42</v>
      </c>
      <c r="N11" t="n">
        <v>1886.79</v>
      </c>
      <c r="O11" t="n">
        <v>4282.19</v>
      </c>
      <c r="P11" t="n">
        <v>3798.63</v>
      </c>
      <c r="Q11" t="n">
        <v>4971.81</v>
      </c>
      <c r="R11" t="n">
        <v>4088.52</v>
      </c>
      <c r="S11" t="n">
        <v>5822.43</v>
      </c>
      <c r="T11" t="n">
        <v>4350.21</v>
      </c>
      <c r="U11" t="n">
        <v>10077.39</v>
      </c>
      <c r="V11" t="n">
        <v>4971.81</v>
      </c>
      <c r="W11" t="n">
        <v>9704.51</v>
      </c>
      <c r="X11" t="n">
        <v>5834.77</v>
      </c>
      <c r="Y11" t="n">
        <v>12331.86</v>
      </c>
      <c r="Z11" t="n">
        <v>10236.42</v>
      </c>
      <c r="AA11" t="n">
        <v>14908.82</v>
      </c>
      <c r="AB11" t="n">
        <v>9706.450000000001</v>
      </c>
      <c r="AC11" t="n">
        <v>14228.49</v>
      </c>
      <c r="AD11" t="n">
        <v>12331.86</v>
      </c>
      <c r="AE11" t="n">
        <v>11814.16</v>
      </c>
      <c r="AF11" t="n">
        <v>14908.82</v>
      </c>
      <c r="AG11" t="n">
        <v>26708.8</v>
      </c>
      <c r="AH11" t="n">
        <v>14228.49</v>
      </c>
      <c r="AI11" t="n">
        <v>42099.48</v>
      </c>
      <c r="AJ11" t="n">
        <v>11707.6</v>
      </c>
      <c r="AK11" t="n">
        <v>31112.47</v>
      </c>
      <c r="AL11" t="n">
        <v>27462.71</v>
      </c>
      <c r="AM11" t="n">
        <v>58362.55</v>
      </c>
      <c r="AN11" t="n">
        <v>42731.24</v>
      </c>
      <c r="AO11" t="n">
        <v>54992.84</v>
      </c>
      <c r="AP11" t="inlineStr">
        <is>
          <t>Bandhan Mutual Fund</t>
        </is>
      </c>
      <c r="AQ11" t="inlineStr">
        <is>
          <t>https://www.niftyindices.com/indices/equity/strategy-indices/nifty-alpha-50</t>
        </is>
      </c>
    </row>
    <row r="12">
      <c r="A12" t="inlineStr">
        <is>
          <t>NIFTY200 MOMENTUM 30</t>
        </is>
      </c>
      <c r="B12" t="n">
        <v>1000</v>
      </c>
      <c r="C12" t="n">
        <v>33895.81</v>
      </c>
      <c r="D12" t="n">
        <v>20.9938</v>
      </c>
      <c r="E12" t="n">
        <v>22.41</v>
      </c>
      <c r="F12" t="n">
        <v>1000</v>
      </c>
      <c r="G12" t="n">
        <v>2651.32</v>
      </c>
      <c r="H12" t="n">
        <v>1797.03</v>
      </c>
      <c r="I12" t="n">
        <v>1725.86</v>
      </c>
      <c r="J12" t="n">
        <v>1794.92</v>
      </c>
      <c r="K12" t="n">
        <v>2811.48</v>
      </c>
      <c r="L12" t="n">
        <v>2631.9</v>
      </c>
      <c r="M12" t="n">
        <v>3206.71</v>
      </c>
      <c r="N12" t="n">
        <v>1713.11</v>
      </c>
      <c r="O12" t="n">
        <v>3198.49</v>
      </c>
      <c r="P12" t="n">
        <v>2830.48</v>
      </c>
      <c r="Q12" t="n">
        <v>3737.84</v>
      </c>
      <c r="R12" t="n">
        <v>3199.01</v>
      </c>
      <c r="S12" t="n">
        <v>4520.63</v>
      </c>
      <c r="T12" t="n">
        <v>3222.97</v>
      </c>
      <c r="U12" t="n">
        <v>7240.99</v>
      </c>
      <c r="V12" t="n">
        <v>3737.84</v>
      </c>
      <c r="W12" t="n">
        <v>6923.56</v>
      </c>
      <c r="X12" t="n">
        <v>4556.61</v>
      </c>
      <c r="Y12" t="n">
        <v>9704.959999999999</v>
      </c>
      <c r="Z12" t="n">
        <v>7348.68</v>
      </c>
      <c r="AA12" t="n">
        <v>12050.25</v>
      </c>
      <c r="AB12" t="n">
        <v>6916.5</v>
      </c>
      <c r="AC12" t="n">
        <v>13209.56</v>
      </c>
      <c r="AD12" t="n">
        <v>9704.959999999999</v>
      </c>
      <c r="AE12" t="n">
        <v>11002.27</v>
      </c>
      <c r="AF12" t="n">
        <v>12050.25</v>
      </c>
      <c r="AG12" t="n">
        <v>17866.29</v>
      </c>
      <c r="AH12" t="n">
        <v>13209.56</v>
      </c>
      <c r="AI12" t="n">
        <v>24607.66</v>
      </c>
      <c r="AJ12" t="n">
        <v>10616.55</v>
      </c>
      <c r="AK12" t="n">
        <v>22346.65</v>
      </c>
      <c r="AL12" t="n">
        <v>18261.82</v>
      </c>
      <c r="AM12" t="n">
        <v>38504.8</v>
      </c>
      <c r="AN12" t="n">
        <v>24772.89</v>
      </c>
      <c r="AO12" t="n">
        <v>34448.05</v>
      </c>
      <c r="AP12" t="inlineStr">
        <is>
          <t>Bandhan Mutual Fund, Baroda BNP Paribas Mutual Fund, HDFC Mutual Fund, ICICI Prudential Mutual Fund, Kotak Mahindra Mutual Fund, Motilal Oswal Mutual Fund, UTI Mutual Fund</t>
        </is>
      </c>
      <c r="AQ12" t="inlineStr">
        <is>
          <t>https://www.niftyindices.com/indices/equity/strategy-indices/nifty200-momentum-30-index</t>
        </is>
      </c>
    </row>
    <row r="13">
      <c r="A13" t="inlineStr">
        <is>
          <t>NIFTY SMALLCAP 250</t>
        </is>
      </c>
      <c r="B13" t="n">
        <v>1000</v>
      </c>
      <c r="C13" t="n">
        <v>18183.31</v>
      </c>
      <c r="D13" t="n">
        <v>20.9938</v>
      </c>
      <c r="E13" t="n">
        <v>21.56</v>
      </c>
      <c r="F13" t="n">
        <v>1000</v>
      </c>
      <c r="G13" t="n">
        <v>2624.3</v>
      </c>
      <c r="H13" t="n">
        <v>1786.61</v>
      </c>
      <c r="I13" t="n">
        <v>1183.49</v>
      </c>
      <c r="J13" t="n">
        <v>1941.41</v>
      </c>
      <c r="K13" t="n">
        <v>2857.15</v>
      </c>
      <c r="L13" t="n">
        <v>2607.61</v>
      </c>
      <c r="M13" t="n">
        <v>2883.17</v>
      </c>
      <c r="N13" t="n">
        <v>1214.02</v>
      </c>
      <c r="O13" t="n">
        <v>2635.24</v>
      </c>
      <c r="P13" t="n">
        <v>2904.77</v>
      </c>
      <c r="Q13" t="n">
        <v>2543.15</v>
      </c>
      <c r="R13" t="n">
        <v>2938.16</v>
      </c>
      <c r="S13" t="n">
        <v>3068.39</v>
      </c>
      <c r="T13" t="n">
        <v>2668.78</v>
      </c>
      <c r="U13" t="n">
        <v>4994.23</v>
      </c>
      <c r="V13" t="n">
        <v>2543.15</v>
      </c>
      <c r="W13" t="n">
        <v>4697.09</v>
      </c>
      <c r="X13" t="n">
        <v>3075.14</v>
      </c>
      <c r="Y13" t="n">
        <v>6602.37</v>
      </c>
      <c r="Z13" t="n">
        <v>5105.06</v>
      </c>
      <c r="AA13" t="n">
        <v>7598.12</v>
      </c>
      <c r="AB13" t="n">
        <v>4742.59</v>
      </c>
      <c r="AC13" t="n">
        <v>6586.72</v>
      </c>
      <c r="AD13" t="n">
        <v>6602.37</v>
      </c>
      <c r="AE13" t="n">
        <v>3900.5</v>
      </c>
      <c r="AF13" t="n">
        <v>7598.12</v>
      </c>
      <c r="AG13" t="n">
        <v>8529.76</v>
      </c>
      <c r="AH13" t="n">
        <v>6586.72</v>
      </c>
      <c r="AI13" t="n">
        <v>11687.4</v>
      </c>
      <c r="AJ13" t="n">
        <v>3862.36</v>
      </c>
      <c r="AK13" t="n">
        <v>10982.49</v>
      </c>
      <c r="AL13" t="n">
        <v>8697.4</v>
      </c>
      <c r="AM13" t="n">
        <v>18570.61</v>
      </c>
      <c r="AN13" t="n">
        <v>11908.62</v>
      </c>
      <c r="AO13" t="n">
        <v>19018.8</v>
      </c>
      <c r="AP13" t="inlineStr">
        <is>
          <t>Bandhan Mutual Fund, Edelweiss Mutual Fund, Groww Mutual Fund, HDFC Mutual Fund, ICICI Prudential Mutual Fund, Kotak Mahindra Mutual Fund, Motilal Oswal Mutual Fund, Nippon India Mutual Fund, SBI Mutual Fund</t>
        </is>
      </c>
      <c r="AQ13" t="inlineStr">
        <is>
          <t>https://www.niftyindices.com/indices/equity/broad-based-indices/niftysmallcap250</t>
        </is>
      </c>
    </row>
    <row r="14">
      <c r="A14" t="inlineStr">
        <is>
          <t>NIFTY ALPHA LOW-VOLATILITY 30</t>
        </is>
      </c>
      <c r="B14" t="n">
        <v>1000</v>
      </c>
      <c r="C14" t="n">
        <v>31479.44</v>
      </c>
      <c r="D14" t="n">
        <v>20.9938</v>
      </c>
      <c r="E14" t="n">
        <v>17.31</v>
      </c>
      <c r="F14" t="n">
        <v>1000</v>
      </c>
      <c r="G14" t="n">
        <v>2453.54</v>
      </c>
      <c r="H14" t="n">
        <v>1859.65</v>
      </c>
      <c r="I14" t="n">
        <v>1721.03</v>
      </c>
      <c r="J14" t="n">
        <v>1910.39</v>
      </c>
      <c r="K14" t="n">
        <v>2867.73</v>
      </c>
      <c r="L14" t="n">
        <v>2437.67</v>
      </c>
      <c r="M14" t="n">
        <v>3470.05</v>
      </c>
      <c r="N14" t="n">
        <v>1711.25</v>
      </c>
      <c r="O14" t="n">
        <v>3618.44</v>
      </c>
      <c r="P14" t="n">
        <v>2867.95</v>
      </c>
      <c r="Q14" t="n">
        <v>4263.3</v>
      </c>
      <c r="R14" t="n">
        <v>3466.07</v>
      </c>
      <c r="S14" t="n">
        <v>5324.99</v>
      </c>
      <c r="T14" t="n">
        <v>3621.7</v>
      </c>
      <c r="U14" t="n">
        <v>8302.42</v>
      </c>
      <c r="V14" t="n">
        <v>4263.3</v>
      </c>
      <c r="W14" t="n">
        <v>8283.02</v>
      </c>
      <c r="X14" t="n">
        <v>5329.44</v>
      </c>
      <c r="Y14" t="n">
        <v>10729.65</v>
      </c>
      <c r="Z14" t="n">
        <v>8381.75</v>
      </c>
      <c r="AA14" t="n">
        <v>13020.21</v>
      </c>
      <c r="AB14" t="n">
        <v>8253.799999999999</v>
      </c>
      <c r="AC14" t="n">
        <v>14226.78</v>
      </c>
      <c r="AD14" t="n">
        <v>10729.65</v>
      </c>
      <c r="AE14" t="n">
        <v>11936.5</v>
      </c>
      <c r="AF14" t="n">
        <v>13020.21</v>
      </c>
      <c r="AG14" t="n">
        <v>17569.97</v>
      </c>
      <c r="AH14" t="n">
        <v>14226.78</v>
      </c>
      <c r="AI14" t="n">
        <v>21211.23</v>
      </c>
      <c r="AJ14" t="n">
        <v>11481.38</v>
      </c>
      <c r="AK14" t="n">
        <v>21386.44</v>
      </c>
      <c r="AL14" t="n">
        <v>17687.36</v>
      </c>
      <c r="AM14" t="n">
        <v>33991.98</v>
      </c>
      <c r="AN14" t="n">
        <v>21300.6</v>
      </c>
      <c r="AO14" t="n">
        <v>32319.08</v>
      </c>
      <c r="AP14" t="inlineStr">
        <is>
          <t>Bandhan Mutual Fund, Edelweiss Mutual Fund, Nippon India Mutual Fund, UTI Mutual Fund</t>
        </is>
      </c>
      <c r="AQ14" t="inlineStr">
        <is>
          <t>https://www.niftyindices.com/indices/equity/strategy-indices/nifty-alpha-low-volatility-30</t>
        </is>
      </c>
    </row>
    <row r="15">
      <c r="A15" t="inlineStr">
        <is>
          <t>NIFTY100 LOW VOLATILITY 30</t>
        </is>
      </c>
      <c r="B15" t="n">
        <v>1000</v>
      </c>
      <c r="C15" t="n">
        <v>25605.76</v>
      </c>
      <c r="D15" t="n">
        <v>20.9938</v>
      </c>
      <c r="E15" t="n">
        <v>16.92</v>
      </c>
      <c r="F15" t="n">
        <v>1000</v>
      </c>
      <c r="G15" t="n">
        <v>2359.3</v>
      </c>
      <c r="H15" t="n">
        <v>1920.54</v>
      </c>
      <c r="I15" t="n">
        <v>1830.77</v>
      </c>
      <c r="J15" t="n">
        <v>1939.29</v>
      </c>
      <c r="K15" t="n">
        <v>3307.42</v>
      </c>
      <c r="L15" t="n">
        <v>2367.69</v>
      </c>
      <c r="M15" t="n">
        <v>3846.89</v>
      </c>
      <c r="N15" t="n">
        <v>1833.18</v>
      </c>
      <c r="O15" t="n">
        <v>4034.41</v>
      </c>
      <c r="P15" t="n">
        <v>3304.68</v>
      </c>
      <c r="Q15" t="n">
        <v>4504.82</v>
      </c>
      <c r="R15" t="n">
        <v>3842.32</v>
      </c>
      <c r="S15" t="n">
        <v>5348.12</v>
      </c>
      <c r="T15" t="n">
        <v>4044.66</v>
      </c>
      <c r="U15" t="n">
        <v>7210.33</v>
      </c>
      <c r="V15" t="n">
        <v>4504.82</v>
      </c>
      <c r="W15" t="n">
        <v>7236.83</v>
      </c>
      <c r="X15" t="n">
        <v>5353.27</v>
      </c>
      <c r="Y15" t="n">
        <v>8615.6</v>
      </c>
      <c r="Z15" t="n">
        <v>7268.95</v>
      </c>
      <c r="AA15" t="n">
        <v>10009.61</v>
      </c>
      <c r="AB15" t="n">
        <v>7215.96</v>
      </c>
      <c r="AC15" t="n">
        <v>11085.04</v>
      </c>
      <c r="AD15" t="n">
        <v>8615.6</v>
      </c>
      <c r="AE15" t="n">
        <v>9075.040000000001</v>
      </c>
      <c r="AF15" t="n">
        <v>10009.61</v>
      </c>
      <c r="AG15" t="n">
        <v>14700</v>
      </c>
      <c r="AH15" t="n">
        <v>11085.04</v>
      </c>
      <c r="AI15" t="n">
        <v>16917.83</v>
      </c>
      <c r="AJ15" t="n">
        <v>8744.219999999999</v>
      </c>
      <c r="AK15" t="n">
        <v>17566.29</v>
      </c>
      <c r="AL15" t="n">
        <v>14801.92</v>
      </c>
      <c r="AM15" t="n">
        <v>24941.4</v>
      </c>
      <c r="AN15" t="n">
        <v>17107.95</v>
      </c>
      <c r="AO15" t="n">
        <v>25689.28</v>
      </c>
      <c r="AP15" t="inlineStr">
        <is>
          <t>Bandhan Mutual Fund, HDFC Mutual Fund, Kotak Mahindra Mutual Fund</t>
        </is>
      </c>
      <c r="AQ15" t="inlineStr">
        <is>
          <t>https://www.niftyindices.com/indices/equity/strategy-indices/nifty-100-low-volatility</t>
        </is>
      </c>
    </row>
    <row r="16">
      <c r="A16" t="inlineStr">
        <is>
          <t>NIFTY500 MOMENTUM 50</t>
        </is>
      </c>
      <c r="B16" t="n">
        <v>1000</v>
      </c>
      <c r="C16" t="n">
        <v>55615.61</v>
      </c>
      <c r="D16" t="n">
        <v>20.9938</v>
      </c>
      <c r="E16" t="n">
        <v>22.49</v>
      </c>
      <c r="F16" t="n">
        <v>1000</v>
      </c>
      <c r="G16" t="n">
        <v>3812.48</v>
      </c>
      <c r="H16" t="n">
        <v>2184.08</v>
      </c>
      <c r="I16" t="n">
        <v>2248.52</v>
      </c>
      <c r="J16" t="n">
        <v>2349.11</v>
      </c>
      <c r="K16" t="n">
        <v>3676.88</v>
      </c>
      <c r="L16" t="n">
        <v>3771.54</v>
      </c>
      <c r="M16" t="n">
        <v>4158.51</v>
      </c>
      <c r="N16" t="n">
        <v>2232.79</v>
      </c>
      <c r="O16" t="n">
        <v>4149.28</v>
      </c>
      <c r="P16" t="n">
        <v>3711.57</v>
      </c>
      <c r="Q16" t="n">
        <v>5041.82</v>
      </c>
      <c r="R16" t="n">
        <v>4183.63</v>
      </c>
      <c r="S16" t="n">
        <v>6055.15</v>
      </c>
      <c r="T16" t="n">
        <v>4200.86</v>
      </c>
      <c r="U16" t="n">
        <v>11286.86</v>
      </c>
      <c r="V16" t="n">
        <v>5041.82</v>
      </c>
      <c r="W16" t="n">
        <v>10504.52</v>
      </c>
      <c r="X16" t="n">
        <v>6079.41</v>
      </c>
      <c r="Y16" t="n">
        <v>14195.78</v>
      </c>
      <c r="Z16" t="n">
        <v>11514.51</v>
      </c>
      <c r="AA16" t="n">
        <v>17463.63</v>
      </c>
      <c r="AB16" t="n">
        <v>10515.84</v>
      </c>
      <c r="AC16" t="n">
        <v>18213.32</v>
      </c>
      <c r="AD16" t="n">
        <v>14195.78</v>
      </c>
      <c r="AE16" t="n">
        <v>14194.85</v>
      </c>
      <c r="AF16" t="n">
        <v>17463.63</v>
      </c>
      <c r="AG16" t="n">
        <v>25965.85</v>
      </c>
      <c r="AH16" t="n">
        <v>18213.32</v>
      </c>
      <c r="AI16" t="n">
        <v>38003.07</v>
      </c>
      <c r="AJ16" t="n">
        <v>13896.4</v>
      </c>
      <c r="AK16" t="n">
        <v>34380.99</v>
      </c>
      <c r="AL16" t="n">
        <v>26519.22</v>
      </c>
      <c r="AM16" t="n">
        <v>61493.05</v>
      </c>
      <c r="AN16" t="n">
        <v>38351.01</v>
      </c>
      <c r="AO16" t="n">
        <v>56541.83</v>
      </c>
      <c r="AP16" t="inlineStr">
        <is>
          <t>Bandhan Mutual Fund, Motilal Oswal Mutual Fund, Nippon India Mutual Fund</t>
        </is>
      </c>
      <c r="AQ16" t="inlineStr">
        <is>
          <t>https://www.niftyindices.com/indices/equity/strategy-indices/nifty500--momentum--50</t>
        </is>
      </c>
    </row>
    <row r="17">
      <c r="A17" t="inlineStr">
        <is>
          <t>NIFTY200 QUALITY 30</t>
        </is>
      </c>
      <c r="B17" t="n">
        <v>1000</v>
      </c>
      <c r="C17" t="n">
        <v>26139.47</v>
      </c>
      <c r="D17" t="n">
        <v>20.9938</v>
      </c>
      <c r="E17" t="n">
        <v>17.99</v>
      </c>
      <c r="F17" t="n">
        <v>1000</v>
      </c>
      <c r="G17" t="n">
        <v>2235.51</v>
      </c>
      <c r="H17" t="n">
        <v>1710.81</v>
      </c>
      <c r="I17" t="n">
        <v>1464.84</v>
      </c>
      <c r="J17" t="n">
        <v>1718.41</v>
      </c>
      <c r="K17" t="n">
        <v>3396.13</v>
      </c>
      <c r="L17" t="n">
        <v>2219.03</v>
      </c>
      <c r="M17" t="n">
        <v>3873.39</v>
      </c>
      <c r="N17" t="n">
        <v>1467.73</v>
      </c>
      <c r="O17" t="n">
        <v>4331.27</v>
      </c>
      <c r="P17" t="n">
        <v>3404.63</v>
      </c>
      <c r="Q17" t="n">
        <v>4816.11</v>
      </c>
      <c r="R17" t="n">
        <v>3884.48</v>
      </c>
      <c r="S17" t="n">
        <v>6246.31</v>
      </c>
      <c r="T17" t="n">
        <v>4360.54</v>
      </c>
      <c r="U17" t="n">
        <v>8707.15</v>
      </c>
      <c r="V17" t="n">
        <v>4816.11</v>
      </c>
      <c r="W17" t="n">
        <v>8239.040000000001</v>
      </c>
      <c r="X17" t="n">
        <v>6252.9</v>
      </c>
      <c r="Y17" t="n">
        <v>9357.18</v>
      </c>
      <c r="Z17" t="n">
        <v>8755.42</v>
      </c>
      <c r="AA17" t="n">
        <v>11149.88</v>
      </c>
      <c r="AB17" t="n">
        <v>8225.41</v>
      </c>
      <c r="AC17" t="n">
        <v>12391.21</v>
      </c>
      <c r="AD17" t="n">
        <v>9357.18</v>
      </c>
      <c r="AE17" t="n">
        <v>10465.27</v>
      </c>
      <c r="AF17" t="n">
        <v>11149.88</v>
      </c>
      <c r="AG17" t="n">
        <v>16404.29</v>
      </c>
      <c r="AH17" t="n">
        <v>12391.21</v>
      </c>
      <c r="AI17" t="n">
        <v>19323.13</v>
      </c>
      <c r="AJ17" t="n">
        <v>10149.2</v>
      </c>
      <c r="AK17" t="n">
        <v>19196.1</v>
      </c>
      <c r="AL17" t="n">
        <v>16481.28</v>
      </c>
      <c r="AM17" t="n">
        <v>26043.08</v>
      </c>
      <c r="AN17" t="n">
        <v>19454.39</v>
      </c>
      <c r="AO17" t="n">
        <v>26783.32</v>
      </c>
      <c r="AP17" t="inlineStr">
        <is>
          <t>Bandhan Mutual Fund, UTI Mutual Fund</t>
        </is>
      </c>
      <c r="AQ17" t="inlineStr">
        <is>
          <t>https://www.niftyindices.com/indices/equity/strategy-indices/nifty200-quality-30</t>
        </is>
      </c>
    </row>
    <row r="18">
      <c r="A18" t="inlineStr">
        <is>
          <t>NIFTY SMALLCAP250 QUALITY 50</t>
        </is>
      </c>
      <c r="B18" t="n">
        <v>1000</v>
      </c>
      <c r="C18" t="n">
        <v>31098.58</v>
      </c>
      <c r="D18" t="n">
        <v>20.9938</v>
      </c>
      <c r="E18" t="n">
        <v>19.59</v>
      </c>
      <c r="F18" t="n">
        <v>1000</v>
      </c>
      <c r="G18" t="n">
        <v>1833.33</v>
      </c>
      <c r="H18" t="n">
        <v>1633.21</v>
      </c>
      <c r="I18" t="n">
        <v>932.23</v>
      </c>
      <c r="J18" t="n">
        <v>1573.37</v>
      </c>
      <c r="K18" t="n">
        <v>2587.5</v>
      </c>
      <c r="L18" t="n">
        <v>1832</v>
      </c>
      <c r="M18" t="n">
        <v>2990.59</v>
      </c>
      <c r="N18" t="n">
        <v>950.45</v>
      </c>
      <c r="O18" t="n">
        <v>2903.32</v>
      </c>
      <c r="P18" t="n">
        <v>2618.87</v>
      </c>
      <c r="Q18" t="n">
        <v>3096.25</v>
      </c>
      <c r="R18" t="n">
        <v>3037.06</v>
      </c>
      <c r="S18" t="n">
        <v>4172.32</v>
      </c>
      <c r="T18" t="n">
        <v>2938.34</v>
      </c>
      <c r="U18" t="n">
        <v>6947.29</v>
      </c>
      <c r="V18" t="n">
        <v>3096.25</v>
      </c>
      <c r="W18" t="n">
        <v>7003.31</v>
      </c>
      <c r="X18" t="n">
        <v>4174.5</v>
      </c>
      <c r="Y18" t="n">
        <v>10080.93</v>
      </c>
      <c r="Z18" t="n">
        <v>7130.57</v>
      </c>
      <c r="AA18" t="n">
        <v>11413.18</v>
      </c>
      <c r="AB18" t="n">
        <v>7035.66</v>
      </c>
      <c r="AC18" t="n">
        <v>10746.59</v>
      </c>
      <c r="AD18" t="n">
        <v>10080.93</v>
      </c>
      <c r="AE18" t="n">
        <v>7005.64</v>
      </c>
      <c r="AF18" t="n">
        <v>11413.18</v>
      </c>
      <c r="AG18" t="n">
        <v>14640.91</v>
      </c>
      <c r="AH18" t="n">
        <v>10746.59</v>
      </c>
      <c r="AI18" t="n">
        <v>20499.52</v>
      </c>
      <c r="AJ18" t="n">
        <v>6928.01</v>
      </c>
      <c r="AK18" t="n">
        <v>20714.27</v>
      </c>
      <c r="AL18" t="n">
        <v>14885.53</v>
      </c>
      <c r="AM18" t="n">
        <v>33248.75</v>
      </c>
      <c r="AN18" t="n">
        <v>20872.27</v>
      </c>
      <c r="AO18" t="n">
        <v>34004.51</v>
      </c>
      <c r="AP18" t="inlineStr">
        <is>
          <t>DSP Mutual Fund</t>
        </is>
      </c>
      <c r="AQ18" t="inlineStr">
        <is>
          <t>https://www.niftyindices.com/indices/equity/strategy-indices/nifty-smallcap250-quality50</t>
        </is>
      </c>
    </row>
    <row r="19">
      <c r="A19" t="inlineStr">
        <is>
          <t>NIFTY TOP 10 EQUAL WEIGHT</t>
        </is>
      </c>
      <c r="B19" t="n">
        <v>1000</v>
      </c>
      <c r="C19" t="n">
        <v>10814.47</v>
      </c>
      <c r="D19" t="n">
        <v>20.0767</v>
      </c>
      <c r="E19" t="n">
        <v>22.14</v>
      </c>
      <c r="G19" t="n">
        <v>1420.97</v>
      </c>
      <c r="H19" t="n">
        <v>1074.62</v>
      </c>
      <c r="I19" t="n">
        <v>930.67</v>
      </c>
      <c r="J19" t="n">
        <v>1261.57</v>
      </c>
      <c r="K19" t="n">
        <v>1675.64</v>
      </c>
      <c r="L19" t="n">
        <v>1425.48</v>
      </c>
      <c r="M19" t="n">
        <v>1981.65</v>
      </c>
      <c r="N19" t="n">
        <v>952.41</v>
      </c>
      <c r="O19" t="n">
        <v>1859.56</v>
      </c>
      <c r="P19" t="n">
        <v>1685.52</v>
      </c>
      <c r="Q19" t="n">
        <v>2219.63</v>
      </c>
      <c r="R19" t="n">
        <v>1973.71</v>
      </c>
      <c r="S19" t="n">
        <v>2653.89</v>
      </c>
      <c r="T19" t="n">
        <v>1873.79</v>
      </c>
      <c r="U19" t="n">
        <v>3305.98</v>
      </c>
      <c r="V19" t="n">
        <v>2219.63</v>
      </c>
      <c r="W19" t="n">
        <v>3025.51</v>
      </c>
      <c r="X19" t="n">
        <v>2660.1</v>
      </c>
      <c r="Y19" t="n">
        <v>3711.35</v>
      </c>
      <c r="Z19" t="n">
        <v>3336.22</v>
      </c>
      <c r="AA19" t="n">
        <v>4292.79</v>
      </c>
      <c r="AB19" t="n">
        <v>3032.14</v>
      </c>
      <c r="AC19" t="n">
        <v>5625.16</v>
      </c>
      <c r="AD19" t="n">
        <v>3711.35</v>
      </c>
      <c r="AE19" t="n">
        <v>4394.52</v>
      </c>
      <c r="AF19" t="n">
        <v>4292.79</v>
      </c>
      <c r="AG19" t="n">
        <v>7380.33</v>
      </c>
      <c r="AH19" t="n">
        <v>5625.16</v>
      </c>
      <c r="AI19" t="n">
        <v>8440.959999999999</v>
      </c>
      <c r="AJ19" t="n">
        <v>4181.24</v>
      </c>
      <c r="AK19" t="n">
        <v>9302.950000000001</v>
      </c>
      <c r="AL19" t="n">
        <v>7445.51</v>
      </c>
      <c r="AM19" t="n">
        <v>11111.96</v>
      </c>
      <c r="AN19" t="n">
        <v>8542.49</v>
      </c>
      <c r="AO19" t="n">
        <v>11960.92</v>
      </c>
      <c r="AP19" t="inlineStr">
        <is>
          <t>DSP Mutual Fund</t>
        </is>
      </c>
      <c r="AQ19" t="inlineStr">
        <is>
          <t>https://www.niftyindices.com/indices/equity/strategy-indices/nifty-top-10-equal-weight</t>
        </is>
      </c>
    </row>
    <row r="20">
      <c r="A20" t="inlineStr">
        <is>
          <t>NIFTY MIDCAP150 QUALITY 50</t>
        </is>
      </c>
      <c r="B20" t="n">
        <v>1000</v>
      </c>
      <c r="C20" t="n">
        <v>28092.86</v>
      </c>
      <c r="D20" t="n">
        <v>20.9938</v>
      </c>
      <c r="E20" t="n">
        <v>17.75</v>
      </c>
      <c r="F20" t="n">
        <v>1000</v>
      </c>
      <c r="G20" t="n">
        <v>1941.32</v>
      </c>
      <c r="H20" t="n">
        <v>1760.02</v>
      </c>
      <c r="I20" t="n">
        <v>1262.77</v>
      </c>
      <c r="J20" t="n">
        <v>1710.5</v>
      </c>
      <c r="K20" t="n">
        <v>3094.12</v>
      </c>
      <c r="L20" t="n">
        <v>1926.24</v>
      </c>
      <c r="M20" t="n">
        <v>3722.34</v>
      </c>
      <c r="N20" t="n">
        <v>1266.12</v>
      </c>
      <c r="O20" t="n">
        <v>3726.12</v>
      </c>
      <c r="P20" t="n">
        <v>3109.02</v>
      </c>
      <c r="Q20" t="n">
        <v>3825.87</v>
      </c>
      <c r="R20" t="n">
        <v>3751.25</v>
      </c>
      <c r="S20" t="n">
        <v>4919.86</v>
      </c>
      <c r="T20" t="n">
        <v>3745.33</v>
      </c>
      <c r="U20" t="n">
        <v>8030.2</v>
      </c>
      <c r="V20" t="n">
        <v>3825.87</v>
      </c>
      <c r="W20" t="n">
        <v>7710.41</v>
      </c>
      <c r="X20" t="n">
        <v>4905.63</v>
      </c>
      <c r="Y20" t="n">
        <v>10447.8</v>
      </c>
      <c r="Z20" t="n">
        <v>8120.08</v>
      </c>
      <c r="AA20" t="n">
        <v>13179.29</v>
      </c>
      <c r="AB20" t="n">
        <v>7733.41</v>
      </c>
      <c r="AC20" t="n">
        <v>13023.02</v>
      </c>
      <c r="AD20" t="n">
        <v>10447.8</v>
      </c>
      <c r="AE20" t="n">
        <v>10297.42</v>
      </c>
      <c r="AF20" t="n">
        <v>13179.29</v>
      </c>
      <c r="AG20" t="n">
        <v>18346.01</v>
      </c>
      <c r="AH20" t="n">
        <v>13023.02</v>
      </c>
      <c r="AI20" t="n">
        <v>21809.69</v>
      </c>
      <c r="AJ20" t="n">
        <v>10147.02</v>
      </c>
      <c r="AK20" t="n">
        <v>20153.74</v>
      </c>
      <c r="AL20" t="n">
        <v>18398.74</v>
      </c>
      <c r="AM20" t="n">
        <v>27395.04</v>
      </c>
      <c r="AN20" t="n">
        <v>21880.75</v>
      </c>
      <c r="AO20" t="n">
        <v>29093.83</v>
      </c>
      <c r="AP20" t="inlineStr">
        <is>
          <t>DSP Mutual Fund, UTI Mutual Fund</t>
        </is>
      </c>
      <c r="AQ20" t="inlineStr">
        <is>
          <t>https://www.niftyindices.com/indices/equity/strategy-indices/nifty-midcap150-quality-50</t>
        </is>
      </c>
    </row>
    <row r="21">
      <c r="A21" t="inlineStr">
        <is>
          <t>NIFTY500 MULTICAP MOMENTUM QUALITY 50</t>
        </is>
      </c>
      <c r="B21" t="n">
        <v>1000</v>
      </c>
      <c r="C21" t="n">
        <v>47199.55</v>
      </c>
      <c r="D21" t="n">
        <v>20.9938</v>
      </c>
      <c r="E21" t="n">
        <v>19.1</v>
      </c>
      <c r="F21" t="n">
        <v>1000</v>
      </c>
      <c r="G21" t="n">
        <v>2278.5</v>
      </c>
      <c r="H21" t="n">
        <v>2012.49</v>
      </c>
      <c r="I21" t="n">
        <v>1538.73</v>
      </c>
      <c r="J21" t="n">
        <v>1918</v>
      </c>
      <c r="K21" t="n">
        <v>3142.57</v>
      </c>
      <c r="L21" t="n">
        <v>2244.86</v>
      </c>
      <c r="M21" t="n">
        <v>3625.89</v>
      </c>
      <c r="N21" t="n">
        <v>1538.93</v>
      </c>
      <c r="O21" t="n">
        <v>3801.21</v>
      </c>
      <c r="P21" t="n">
        <v>3177.66</v>
      </c>
      <c r="Q21" t="n">
        <v>4397.7</v>
      </c>
      <c r="R21" t="n">
        <v>3646.34</v>
      </c>
      <c r="S21" t="n">
        <v>5915.46</v>
      </c>
      <c r="T21" t="n">
        <v>3830.16</v>
      </c>
      <c r="U21" t="n">
        <v>10159.32</v>
      </c>
      <c r="V21" t="n">
        <v>4397.7</v>
      </c>
      <c r="W21" t="n">
        <v>9651.799999999999</v>
      </c>
      <c r="X21" t="n">
        <v>5960.07</v>
      </c>
      <c r="Y21" t="n">
        <v>12177.93</v>
      </c>
      <c r="Z21" t="n">
        <v>10315.27</v>
      </c>
      <c r="AA21" t="n">
        <v>14895.01</v>
      </c>
      <c r="AB21" t="n">
        <v>9675.65</v>
      </c>
      <c r="AC21" t="n">
        <v>16143.7</v>
      </c>
      <c r="AD21" t="n">
        <v>12177.93</v>
      </c>
      <c r="AE21" t="n">
        <v>14136.22</v>
      </c>
      <c r="AF21" t="n">
        <v>14895.01</v>
      </c>
      <c r="AG21" t="n">
        <v>23208.07</v>
      </c>
      <c r="AH21" t="n">
        <v>16143.7</v>
      </c>
      <c r="AI21" t="n">
        <v>32876.07</v>
      </c>
      <c r="AJ21" t="n">
        <v>13846.06</v>
      </c>
      <c r="AK21" t="n">
        <v>29491.43</v>
      </c>
      <c r="AL21" t="n">
        <v>23457.96</v>
      </c>
      <c r="AM21" t="n">
        <v>51826.54</v>
      </c>
      <c r="AN21" t="n">
        <v>33120.62</v>
      </c>
      <c r="AO21" t="n">
        <v>48365.9</v>
      </c>
      <c r="AP21" t="inlineStr">
        <is>
          <t>Edelweiss Mutual Fund</t>
        </is>
      </c>
      <c r="AQ21" t="inlineStr">
        <is>
          <t>https://www.niftyindices.com/indices/equity/strategy-indices/nifty500-multicap-momentum-quality50</t>
        </is>
      </c>
    </row>
    <row r="22">
      <c r="A22" t="inlineStr">
        <is>
          <t>NIFTY LARGEMIDCAP 250</t>
        </is>
      </c>
      <c r="B22" t="n">
        <v>1000</v>
      </c>
      <c r="C22" t="n">
        <v>18939.96</v>
      </c>
      <c r="D22" t="n">
        <v>20.9938</v>
      </c>
      <c r="E22" t="n">
        <v>20.12</v>
      </c>
      <c r="F22" t="n">
        <v>1000</v>
      </c>
      <c r="G22" t="n">
        <v>2198.09</v>
      </c>
      <c r="H22" t="n">
        <v>1689.24</v>
      </c>
      <c r="I22" t="n">
        <v>1256</v>
      </c>
      <c r="J22" t="n">
        <v>1713.68</v>
      </c>
      <c r="K22" t="n">
        <v>2607.64</v>
      </c>
      <c r="L22" t="n">
        <v>2191.38</v>
      </c>
      <c r="M22" t="n">
        <v>2792.41</v>
      </c>
      <c r="N22" t="n">
        <v>1273.24</v>
      </c>
      <c r="O22" t="n">
        <v>2616.22</v>
      </c>
      <c r="P22" t="n">
        <v>2630.06</v>
      </c>
      <c r="Q22" t="n">
        <v>2806.42</v>
      </c>
      <c r="R22" t="n">
        <v>2811.16</v>
      </c>
      <c r="S22" t="n">
        <v>3328.28</v>
      </c>
      <c r="T22" t="n">
        <v>2635.13</v>
      </c>
      <c r="U22" t="n">
        <v>4819.92</v>
      </c>
      <c r="V22" t="n">
        <v>2806.42</v>
      </c>
      <c r="W22" t="n">
        <v>4613.85</v>
      </c>
      <c r="X22" t="n">
        <v>3328.18</v>
      </c>
      <c r="Y22" t="n">
        <v>5991.47</v>
      </c>
      <c r="Z22" t="n">
        <v>4875.68</v>
      </c>
      <c r="AA22" t="n">
        <v>6958.58</v>
      </c>
      <c r="AB22" t="n">
        <v>4619.35</v>
      </c>
      <c r="AC22" t="n">
        <v>7334.14</v>
      </c>
      <c r="AD22" t="n">
        <v>5991.47</v>
      </c>
      <c r="AE22" t="n">
        <v>5301.41</v>
      </c>
      <c r="AF22" t="n">
        <v>6958.58</v>
      </c>
      <c r="AG22" t="n">
        <v>9855.639999999999</v>
      </c>
      <c r="AH22" t="n">
        <v>7334.14</v>
      </c>
      <c r="AI22" t="n">
        <v>12112.92</v>
      </c>
      <c r="AJ22" t="n">
        <v>5152.25</v>
      </c>
      <c r="AK22" t="n">
        <v>12188.35</v>
      </c>
      <c r="AL22" t="n">
        <v>9994.66</v>
      </c>
      <c r="AM22" t="n">
        <v>18024.27</v>
      </c>
      <c r="AN22" t="n">
        <v>12265.2</v>
      </c>
      <c r="AO22" t="n">
        <v>18865.51</v>
      </c>
      <c r="AP22" t="inlineStr">
        <is>
          <t>Edelweiss Mutual Fund, HDFC Mutual Fund, ICICI Prudential Mutual Fund, Mirae Asset Mutual Fund, Zerodha Mutual Fund</t>
        </is>
      </c>
      <c r="AQ22" t="inlineStr">
        <is>
          <t>https://www.niftyindices.com/indices/equity/broad-based-indices/nifty-largemidcap-250</t>
        </is>
      </c>
    </row>
    <row r="23">
      <c r="A23" t="inlineStr">
        <is>
          <t>NIFTY MIDCAP150 MOMENTUM 50</t>
        </is>
      </c>
      <c r="B23" t="n">
        <v>1000</v>
      </c>
      <c r="C23" t="n">
        <v>66945.19</v>
      </c>
      <c r="D23" t="n">
        <v>20.9938</v>
      </c>
      <c r="E23" t="n">
        <v>21.2</v>
      </c>
      <c r="F23" t="n">
        <v>1000</v>
      </c>
      <c r="G23" t="n">
        <v>2531.75</v>
      </c>
      <c r="H23" t="n">
        <v>2067.55</v>
      </c>
      <c r="I23" t="n">
        <v>1342.66</v>
      </c>
      <c r="J23" t="n">
        <v>1935.4</v>
      </c>
      <c r="K23" t="n">
        <v>2867.8</v>
      </c>
      <c r="L23" t="n">
        <v>2491.56</v>
      </c>
      <c r="M23" t="n">
        <v>3387.39</v>
      </c>
      <c r="N23" t="n">
        <v>1346.91</v>
      </c>
      <c r="O23" t="n">
        <v>3589.03</v>
      </c>
      <c r="P23" t="n">
        <v>2902.66</v>
      </c>
      <c r="Q23" t="n">
        <v>4444.82</v>
      </c>
      <c r="R23" t="n">
        <v>3407.43</v>
      </c>
      <c r="S23" t="n">
        <v>5425.27</v>
      </c>
      <c r="T23" t="n">
        <v>3621.17</v>
      </c>
      <c r="U23" t="n">
        <v>9971.120000000001</v>
      </c>
      <c r="V23" t="n">
        <v>4444.82</v>
      </c>
      <c r="W23" t="n">
        <v>10085.49</v>
      </c>
      <c r="X23" t="n">
        <v>5432.83</v>
      </c>
      <c r="Y23" t="n">
        <v>13952.44</v>
      </c>
      <c r="Z23" t="n">
        <v>10096.96</v>
      </c>
      <c r="AA23" t="n">
        <v>17879.19</v>
      </c>
      <c r="AB23" t="n">
        <v>10111.65</v>
      </c>
      <c r="AC23" t="n">
        <v>16855.16</v>
      </c>
      <c r="AD23" t="n">
        <v>13952.44</v>
      </c>
      <c r="AE23" t="n">
        <v>13619.34</v>
      </c>
      <c r="AF23" t="n">
        <v>17879.19</v>
      </c>
      <c r="AG23" t="n">
        <v>27265.07</v>
      </c>
      <c r="AH23" t="n">
        <v>16855.16</v>
      </c>
      <c r="AI23" t="n">
        <v>38336.35</v>
      </c>
      <c r="AJ23" t="n">
        <v>13377.69</v>
      </c>
      <c r="AK23" t="n">
        <v>37811.02</v>
      </c>
      <c r="AL23" t="n">
        <v>27902.07</v>
      </c>
      <c r="AM23" t="n">
        <v>66030.98</v>
      </c>
      <c r="AN23" t="n">
        <v>38516.85</v>
      </c>
      <c r="AO23" t="n">
        <v>66875.17999999999</v>
      </c>
      <c r="AP23" t="inlineStr">
        <is>
          <t>Edelweiss Mutual Fund, Kotak Mahindra Mutual Fund, Tata Mutual Fund</t>
        </is>
      </c>
      <c r="AQ23" t="inlineStr">
        <is>
          <t>https://www.niftyindices.com/indices/equity/strategy-indices/nifty-midcap150-momentum-50</t>
        </is>
      </c>
    </row>
    <row r="24">
      <c r="A24" t="inlineStr">
        <is>
          <t>NIFTY500 MULTICAP 50:25:25</t>
        </is>
      </c>
      <c r="B24" t="n">
        <v>1000</v>
      </c>
      <c r="C24" t="n">
        <v>18552.25</v>
      </c>
      <c r="D24" t="n">
        <v>20.9938</v>
      </c>
      <c r="E24" t="n">
        <v>19.89</v>
      </c>
      <c r="F24" t="n">
        <v>1000</v>
      </c>
      <c r="G24" t="n">
        <v>2246.28</v>
      </c>
      <c r="H24" t="n">
        <v>1668.79</v>
      </c>
      <c r="I24" t="n">
        <v>1299.26</v>
      </c>
      <c r="J24" t="n">
        <v>1758.21</v>
      </c>
      <c r="K24" t="n">
        <v>2754.13</v>
      </c>
      <c r="L24" t="n">
        <v>2241.34</v>
      </c>
      <c r="M24" t="n">
        <v>2977.24</v>
      </c>
      <c r="N24" t="n">
        <v>1319.69</v>
      </c>
      <c r="O24" t="n">
        <v>2791.53</v>
      </c>
      <c r="P24" t="n">
        <v>2781.65</v>
      </c>
      <c r="Q24" t="n">
        <v>2902.93</v>
      </c>
      <c r="R24" t="n">
        <v>3004.01</v>
      </c>
      <c r="S24" t="n">
        <v>3482.21</v>
      </c>
      <c r="T24" t="n">
        <v>2814.27</v>
      </c>
      <c r="U24" t="n">
        <v>5050.68</v>
      </c>
      <c r="V24" t="n">
        <v>2902.93</v>
      </c>
      <c r="W24" t="n">
        <v>4792.72</v>
      </c>
      <c r="X24" t="n">
        <v>3489.3</v>
      </c>
      <c r="Y24" t="n">
        <v>6256.93</v>
      </c>
      <c r="Z24" t="n">
        <v>5122.71</v>
      </c>
      <c r="AA24" t="n">
        <v>7215.43</v>
      </c>
      <c r="AB24" t="n">
        <v>4803.9</v>
      </c>
      <c r="AC24" t="n">
        <v>7381.43</v>
      </c>
      <c r="AD24" t="n">
        <v>6256.93</v>
      </c>
      <c r="AE24" t="n">
        <v>5130.27</v>
      </c>
      <c r="AF24" t="n">
        <v>7215.43</v>
      </c>
      <c r="AG24" t="n">
        <v>9741.41</v>
      </c>
      <c r="AH24" t="n">
        <v>7381.43</v>
      </c>
      <c r="AI24" t="n">
        <v>12260.19</v>
      </c>
      <c r="AJ24" t="n">
        <v>4995.35</v>
      </c>
      <c r="AK24" t="n">
        <v>12068.74</v>
      </c>
      <c r="AL24" t="n">
        <v>9888.57</v>
      </c>
      <c r="AM24" t="n">
        <v>18095.5</v>
      </c>
      <c r="AN24" t="n">
        <v>12433.53</v>
      </c>
      <c r="AO24" t="n">
        <v>18828.78</v>
      </c>
      <c r="AP24" t="inlineStr">
        <is>
          <t>HDFC Mutual Fund, Navi Mutual Fund</t>
        </is>
      </c>
      <c r="AQ24" t="inlineStr">
        <is>
          <t>https://www.niftyindices.com/indices/equity/broad-based-indices/nifty500-multicap-50-25-25-index</t>
        </is>
      </c>
    </row>
    <row r="25">
      <c r="A25" t="inlineStr">
        <is>
          <t>NIFTY100 EQUAL WEIGHT</t>
        </is>
      </c>
      <c r="B25" t="n">
        <v>2652.85</v>
      </c>
      <c r="C25" t="n">
        <v>42556.49</v>
      </c>
      <c r="D25" t="n">
        <v>20.9938</v>
      </c>
      <c r="E25" t="n">
        <v>20.87</v>
      </c>
      <c r="F25" t="n">
        <v>2652.85</v>
      </c>
      <c r="G25" t="n">
        <v>5352.2</v>
      </c>
      <c r="H25" t="n">
        <v>4162.98</v>
      </c>
      <c r="I25" t="n">
        <v>3251.4</v>
      </c>
      <c r="J25" t="n">
        <v>4211.31</v>
      </c>
      <c r="K25" t="n">
        <v>7517.76</v>
      </c>
      <c r="L25" t="n">
        <v>5343.71</v>
      </c>
      <c r="M25" t="n">
        <v>8050.05</v>
      </c>
      <c r="N25" t="n">
        <v>3299.3</v>
      </c>
      <c r="O25" t="n">
        <v>7660.31</v>
      </c>
      <c r="P25" t="n">
        <v>7560.28</v>
      </c>
      <c r="Q25" t="n">
        <v>7946.36</v>
      </c>
      <c r="R25" t="n">
        <v>8111.9</v>
      </c>
      <c r="S25" t="n">
        <v>9642.780000000001</v>
      </c>
      <c r="T25" t="n">
        <v>7715.51</v>
      </c>
      <c r="U25" t="n">
        <v>13105.8</v>
      </c>
      <c r="V25" t="n">
        <v>7946.36</v>
      </c>
      <c r="W25" t="n">
        <v>12364.77</v>
      </c>
      <c r="X25" t="n">
        <v>9633.27</v>
      </c>
      <c r="Y25" t="n">
        <v>15911.33</v>
      </c>
      <c r="Z25" t="n">
        <v>13256.96</v>
      </c>
      <c r="AA25" t="n">
        <v>17717.62</v>
      </c>
      <c r="AB25" t="n">
        <v>12348.57</v>
      </c>
      <c r="AC25" t="n">
        <v>17983.98</v>
      </c>
      <c r="AD25" t="n">
        <v>15911.33</v>
      </c>
      <c r="AE25" t="n">
        <v>12717.64</v>
      </c>
      <c r="AF25" t="n">
        <v>17717.62</v>
      </c>
      <c r="AG25" t="n">
        <v>22914.62</v>
      </c>
      <c r="AH25" t="n">
        <v>17983.98</v>
      </c>
      <c r="AI25" t="n">
        <v>27871.61</v>
      </c>
      <c r="AJ25" t="n">
        <v>12375.24</v>
      </c>
      <c r="AK25" t="n">
        <v>26780.81</v>
      </c>
      <c r="AL25" t="n">
        <v>23264.1</v>
      </c>
      <c r="AM25" t="n">
        <v>41530.28</v>
      </c>
      <c r="AN25" t="n">
        <v>28292.61</v>
      </c>
      <c r="AO25" t="n">
        <v>42490.88</v>
      </c>
      <c r="AP25" t="inlineStr">
        <is>
          <t>HDFC Mutual Fund, Sundaram Mutual Fund</t>
        </is>
      </c>
      <c r="AQ25" t="inlineStr">
        <is>
          <t>https://www.niftyindices.com/indices/equity/strategy-indices/nifty-100-equal-weight</t>
        </is>
      </c>
    </row>
    <row r="26">
      <c r="A26" t="inlineStr">
        <is>
          <t>NIFTY200 VALUE 30</t>
        </is>
      </c>
      <c r="B26" t="n">
        <v>1000</v>
      </c>
      <c r="C26" t="n">
        <v>24584.63</v>
      </c>
      <c r="D26" t="n">
        <v>20.9938</v>
      </c>
      <c r="E26" t="n">
        <v>26.2</v>
      </c>
      <c r="F26" t="n">
        <v>1000</v>
      </c>
      <c r="G26" t="n">
        <v>1873.05</v>
      </c>
      <c r="H26" t="n">
        <v>1433.12</v>
      </c>
      <c r="I26" t="n">
        <v>1214.11</v>
      </c>
      <c r="J26" t="n">
        <v>1247.62</v>
      </c>
      <c r="K26" t="n">
        <v>3191.27</v>
      </c>
      <c r="L26" t="n">
        <v>1874.13</v>
      </c>
      <c r="M26" t="n">
        <v>3903.87</v>
      </c>
      <c r="N26" t="n">
        <v>1230.97</v>
      </c>
      <c r="O26" t="n">
        <v>3820.84</v>
      </c>
      <c r="P26" t="n">
        <v>3217.98</v>
      </c>
      <c r="Q26" t="n">
        <v>3358.03</v>
      </c>
      <c r="R26" t="n">
        <v>3940.64</v>
      </c>
      <c r="S26" t="n">
        <v>3978.92</v>
      </c>
      <c r="T26" t="n">
        <v>3846.17</v>
      </c>
      <c r="U26" t="n">
        <v>4976.36</v>
      </c>
      <c r="V26" t="n">
        <v>3358.03</v>
      </c>
      <c r="W26" t="n">
        <v>4172.34</v>
      </c>
      <c r="X26" t="n">
        <v>3936.73</v>
      </c>
      <c r="Y26" t="n">
        <v>6579.8</v>
      </c>
      <c r="Z26" t="n">
        <v>5070.23</v>
      </c>
      <c r="AA26" t="n">
        <v>6725.58</v>
      </c>
      <c r="AB26" t="n">
        <v>4206.55</v>
      </c>
      <c r="AC26" t="n">
        <v>6349.87</v>
      </c>
      <c r="AD26" t="n">
        <v>6579.8</v>
      </c>
      <c r="AE26" t="n">
        <v>3451.93</v>
      </c>
      <c r="AF26" t="n">
        <v>6725.58</v>
      </c>
      <c r="AG26" t="n">
        <v>6808.67</v>
      </c>
      <c r="AH26" t="n">
        <v>6349.87</v>
      </c>
      <c r="AI26" t="n">
        <v>9119.139999999999</v>
      </c>
      <c r="AJ26" t="n">
        <v>3370.45</v>
      </c>
      <c r="AK26" t="n">
        <v>10485.07</v>
      </c>
      <c r="AL26" t="n">
        <v>7018.04</v>
      </c>
      <c r="AM26" t="n">
        <v>20043.08</v>
      </c>
      <c r="AN26" t="n">
        <v>9319.360000000001</v>
      </c>
      <c r="AO26" t="n">
        <v>21329.93</v>
      </c>
      <c r="AP26" t="inlineStr">
        <is>
          <t>ICICI Prudential Mutual Fund</t>
        </is>
      </c>
      <c r="AQ26" t="inlineStr">
        <is>
          <t>https://www.niftyindices.com/indices/equity/strategy-indices/nifty200-value30</t>
        </is>
      </c>
    </row>
    <row r="27">
      <c r="A27" t="inlineStr">
        <is>
          <t>NIFTY50 VALUE 20</t>
        </is>
      </c>
      <c r="B27" t="n">
        <v>1000</v>
      </c>
      <c r="C27" t="n">
        <v>16201.69</v>
      </c>
      <c r="D27" t="n">
        <v>17.2402</v>
      </c>
      <c r="E27" t="n">
        <v>17.86</v>
      </c>
      <c r="I27" t="n">
        <v>1032.94</v>
      </c>
      <c r="K27" t="n">
        <v>2176.38</v>
      </c>
      <c r="M27" t="n">
        <v>2639.76</v>
      </c>
      <c r="N27" t="n">
        <v>1049.72</v>
      </c>
      <c r="O27" t="n">
        <v>2491.47</v>
      </c>
      <c r="P27" t="n">
        <v>2191.97</v>
      </c>
      <c r="Q27" t="n">
        <v>2789.34</v>
      </c>
      <c r="R27" t="n">
        <v>2632.59</v>
      </c>
      <c r="S27" t="n">
        <v>3374.93</v>
      </c>
      <c r="T27" t="n">
        <v>2497.8</v>
      </c>
      <c r="U27" t="n">
        <v>4172.98</v>
      </c>
      <c r="V27" t="n">
        <v>2789.34</v>
      </c>
      <c r="W27" t="n">
        <v>4061.24</v>
      </c>
      <c r="X27" t="n">
        <v>3388.3</v>
      </c>
      <c r="Y27" t="n">
        <v>4638.15</v>
      </c>
      <c r="Z27" t="n">
        <v>4193.17</v>
      </c>
      <c r="AA27" t="n">
        <v>5334.82</v>
      </c>
      <c r="AB27" t="n">
        <v>4034.03</v>
      </c>
      <c r="AC27" t="n">
        <v>6760.94</v>
      </c>
      <c r="AD27" t="n">
        <v>4638.15</v>
      </c>
      <c r="AE27" t="n">
        <v>5449.69</v>
      </c>
      <c r="AF27" t="n">
        <v>5334.82</v>
      </c>
      <c r="AG27" t="n">
        <v>9418.82</v>
      </c>
      <c r="AH27" t="n">
        <v>6760.94</v>
      </c>
      <c r="AI27" t="n">
        <v>11806.22</v>
      </c>
      <c r="AJ27" t="n">
        <v>5209.95</v>
      </c>
      <c r="AK27" t="n">
        <v>12163.47</v>
      </c>
      <c r="AL27" t="n">
        <v>9526.870000000001</v>
      </c>
      <c r="AM27" t="n">
        <v>16531.21</v>
      </c>
      <c r="AN27" t="n">
        <v>11921.54</v>
      </c>
      <c r="AO27" t="n">
        <v>16976.27</v>
      </c>
      <c r="AP27" t="inlineStr">
        <is>
          <t>ICICI Prudential Mutual Fund, Nippon India Mutual Fund</t>
        </is>
      </c>
      <c r="AQ27" t="inlineStr">
        <is>
          <t>https://www.niftyindices.com/indices/equity/strategy-indices/nifty-50-value-20</t>
        </is>
      </c>
    </row>
    <row r="28">
      <c r="A28" t="inlineStr">
        <is>
          <t>NIFTY500 EQUAL WEIGHT</t>
        </is>
      </c>
      <c r="B28" t="n">
        <v>1000</v>
      </c>
      <c r="C28" t="n">
        <v>15957.8</v>
      </c>
      <c r="D28" t="n">
        <v>20.9938</v>
      </c>
      <c r="E28" t="n">
        <v>20.73</v>
      </c>
      <c r="F28" t="n">
        <v>1000</v>
      </c>
      <c r="G28" t="n">
        <v>1955.05</v>
      </c>
      <c r="H28" t="n">
        <v>1657.85</v>
      </c>
      <c r="I28" t="n">
        <v>1068.79</v>
      </c>
      <c r="J28" t="n">
        <v>1602.64</v>
      </c>
      <c r="K28" t="n">
        <v>2703</v>
      </c>
      <c r="L28" t="n">
        <v>1955.62</v>
      </c>
      <c r="M28" t="n">
        <v>2852.42</v>
      </c>
      <c r="N28" t="n">
        <v>1091.88</v>
      </c>
      <c r="O28" t="n">
        <v>2635.85</v>
      </c>
      <c r="P28" t="n">
        <v>2744.24</v>
      </c>
      <c r="Q28" t="n">
        <v>2497.69</v>
      </c>
      <c r="R28" t="n">
        <v>2903.75</v>
      </c>
      <c r="S28" t="n">
        <v>2945.09</v>
      </c>
      <c r="T28" t="n">
        <v>2673.57</v>
      </c>
      <c r="U28" t="n">
        <v>4482.78</v>
      </c>
      <c r="V28" t="n">
        <v>2497.69</v>
      </c>
      <c r="W28" t="n">
        <v>4277.71</v>
      </c>
      <c r="X28" t="n">
        <v>2960.14</v>
      </c>
      <c r="Y28" t="n">
        <v>5819.95</v>
      </c>
      <c r="Z28" t="n">
        <v>4566.12</v>
      </c>
      <c r="AA28" t="n">
        <v>6610.52</v>
      </c>
      <c r="AB28" t="n">
        <v>4312.33</v>
      </c>
      <c r="AC28" t="n">
        <v>5973.33</v>
      </c>
      <c r="AD28" t="n">
        <v>5819.95</v>
      </c>
      <c r="AE28" t="n">
        <v>3691.95</v>
      </c>
      <c r="AF28" t="n">
        <v>6610.52</v>
      </c>
      <c r="AG28" t="n">
        <v>7699.59</v>
      </c>
      <c r="AH28" t="n">
        <v>5973.33</v>
      </c>
      <c r="AI28" t="n">
        <v>9933.719999999999</v>
      </c>
      <c r="AJ28" t="n">
        <v>3651.39</v>
      </c>
      <c r="AK28" t="n">
        <v>9726.959999999999</v>
      </c>
      <c r="AL28" t="n">
        <v>7846.02</v>
      </c>
      <c r="AM28" t="n">
        <v>15945.83</v>
      </c>
      <c r="AN28" t="n">
        <v>10123.81</v>
      </c>
      <c r="AO28" t="n">
        <v>16361.1</v>
      </c>
      <c r="AP28" t="inlineStr">
        <is>
          <t>Nippon India Mutual Fund</t>
        </is>
      </c>
      <c r="AQ28" t="inlineStr">
        <is>
          <t>https://www.niftyindices.com/indices/equity/strategy-indices/nifty500--equal--weight</t>
        </is>
      </c>
    </row>
    <row r="29">
      <c r="A29" t="inlineStr">
        <is>
          <t>NIFTY200 ALPHA 30</t>
        </is>
      </c>
      <c r="B29" t="n">
        <v>1000</v>
      </c>
      <c r="C29" t="n">
        <v>27721.36</v>
      </c>
      <c r="D29" t="n">
        <v>20.9938</v>
      </c>
      <c r="E29" t="n">
        <v>24.31</v>
      </c>
      <c r="F29" t="n">
        <v>1000</v>
      </c>
      <c r="G29" t="n">
        <v>2423.26</v>
      </c>
      <c r="H29" t="n">
        <v>1816.25</v>
      </c>
      <c r="I29" t="n">
        <v>1212.74</v>
      </c>
      <c r="J29" t="n">
        <v>1777.31</v>
      </c>
      <c r="K29" t="n">
        <v>2100.07</v>
      </c>
      <c r="L29" t="n">
        <v>2414.48</v>
      </c>
      <c r="M29" t="n">
        <v>2238.42</v>
      </c>
      <c r="N29" t="n">
        <v>1206.62</v>
      </c>
      <c r="O29" t="n">
        <v>2243.92</v>
      </c>
      <c r="P29" t="n">
        <v>2115.18</v>
      </c>
      <c r="Q29" t="n">
        <v>2527.61</v>
      </c>
      <c r="R29" t="n">
        <v>2239.44</v>
      </c>
      <c r="S29" t="n">
        <v>3118.95</v>
      </c>
      <c r="T29" t="n">
        <v>2266.39</v>
      </c>
      <c r="U29" t="n">
        <v>4914.92</v>
      </c>
      <c r="V29" t="n">
        <v>2527.61</v>
      </c>
      <c r="W29" t="n">
        <v>4880.29</v>
      </c>
      <c r="X29" t="n">
        <v>3150.25</v>
      </c>
      <c r="Y29" t="n">
        <v>6883.09</v>
      </c>
      <c r="Z29" t="n">
        <v>4973.72</v>
      </c>
      <c r="AA29" t="n">
        <v>8464.82</v>
      </c>
      <c r="AB29" t="n">
        <v>4875.52</v>
      </c>
      <c r="AC29" t="n">
        <v>8889.209999999999</v>
      </c>
      <c r="AD29" t="n">
        <v>6883.09</v>
      </c>
      <c r="AE29" t="n">
        <v>7340.76</v>
      </c>
      <c r="AF29" t="n">
        <v>8464.82</v>
      </c>
      <c r="AG29" t="n">
        <v>12094.47</v>
      </c>
      <c r="AH29" t="n">
        <v>8889.209999999999</v>
      </c>
      <c r="AI29" t="n">
        <v>17220.91</v>
      </c>
      <c r="AJ29" t="n">
        <v>7064.86</v>
      </c>
      <c r="AK29" t="n">
        <v>15598.42</v>
      </c>
      <c r="AL29" t="n">
        <v>12346.65</v>
      </c>
      <c r="AM29" t="n">
        <v>29342.68</v>
      </c>
      <c r="AN29" t="n">
        <v>17333.98</v>
      </c>
      <c r="AO29" t="n">
        <v>27607.92</v>
      </c>
      <c r="AP29" t="inlineStr">
        <is>
          <t>Tata Mutual Fund</t>
        </is>
      </c>
      <c r="AQ29" t="inlineStr">
        <is>
          <t>https://www.niftyindices.com/indices/equity/strategy-indices/nifty200-alpha-30</t>
        </is>
      </c>
    </row>
    <row r="30">
      <c r="A30" t="inlineStr">
        <is>
          <t>NIFTY 200</t>
        </is>
      </c>
      <c r="B30" t="n">
        <v>1171.5</v>
      </c>
      <c r="C30" t="n">
        <v>16699.39</v>
      </c>
      <c r="D30" t="n">
        <v>20.9938</v>
      </c>
      <c r="E30" t="n">
        <v>20.54</v>
      </c>
      <c r="F30" t="n">
        <v>1171.5</v>
      </c>
      <c r="G30" t="n">
        <v>2628.75</v>
      </c>
      <c r="H30" t="n">
        <v>1917.98</v>
      </c>
      <c r="I30" t="n">
        <v>1615.6</v>
      </c>
      <c r="J30" t="n">
        <v>2033.35</v>
      </c>
      <c r="K30" t="n">
        <v>3010.95</v>
      </c>
      <c r="L30" t="n">
        <v>2626.74</v>
      </c>
      <c r="M30" t="n">
        <v>3297.63</v>
      </c>
      <c r="N30" t="n">
        <v>1636.23</v>
      </c>
      <c r="O30" t="n">
        <v>3038.29</v>
      </c>
      <c r="P30" t="n">
        <v>3031.22</v>
      </c>
      <c r="Q30" t="n">
        <v>3286.19</v>
      </c>
      <c r="R30" t="n">
        <v>3302.61</v>
      </c>
      <c r="S30" t="n">
        <v>3900.02</v>
      </c>
      <c r="T30" t="n">
        <v>3054.35</v>
      </c>
      <c r="U30" t="n">
        <v>5192.52</v>
      </c>
      <c r="V30" t="n">
        <v>3286.19</v>
      </c>
      <c r="W30" t="n">
        <v>4832.98</v>
      </c>
      <c r="X30" t="n">
        <v>3905.37</v>
      </c>
      <c r="Y30" t="n">
        <v>5992.56</v>
      </c>
      <c r="Z30" t="n">
        <v>5251.48</v>
      </c>
      <c r="AA30" t="n">
        <v>6818.58</v>
      </c>
      <c r="AB30" t="n">
        <v>4823.14</v>
      </c>
      <c r="AC30" t="n">
        <v>7568.22</v>
      </c>
      <c r="AD30" t="n">
        <v>5992.56</v>
      </c>
      <c r="AE30" t="n">
        <v>5572.96</v>
      </c>
      <c r="AF30" t="n">
        <v>6818.58</v>
      </c>
      <c r="AG30" t="n">
        <v>9730.709999999999</v>
      </c>
      <c r="AH30" t="n">
        <v>7568.22</v>
      </c>
      <c r="AI30" t="n">
        <v>11810.19</v>
      </c>
      <c r="AJ30" t="n">
        <v>5374.22</v>
      </c>
      <c r="AK30" t="n">
        <v>11681.18</v>
      </c>
      <c r="AL30" t="n">
        <v>9859.129999999999</v>
      </c>
      <c r="AM30" t="n">
        <v>16304.76</v>
      </c>
      <c r="AN30" t="n">
        <v>11960.76</v>
      </c>
      <c r="AO30" t="n">
        <v>16951.35</v>
      </c>
      <c r="AQ30" t="inlineStr">
        <is>
          <t>https://www.niftyindices.com/indices/equity/broad-based-indices/nifty-200</t>
        </is>
      </c>
    </row>
    <row r="31">
      <c r="A31" t="inlineStr">
        <is>
          <t>NIFTY MIDCAP 100</t>
        </is>
      </c>
      <c r="B31" t="n">
        <v>3178.35</v>
      </c>
      <c r="C31" t="n">
        <v>71569.28999999999</v>
      </c>
      <c r="D31" t="n">
        <v>20.9938</v>
      </c>
      <c r="E31" t="n">
        <v>21.3</v>
      </c>
      <c r="F31" t="n">
        <v>3178.35</v>
      </c>
      <c r="G31" t="n">
        <v>6933.16</v>
      </c>
      <c r="H31" t="n">
        <v>5175.1</v>
      </c>
      <c r="I31" t="n">
        <v>3850.83</v>
      </c>
      <c r="J31" t="n">
        <v>5156.98</v>
      </c>
      <c r="K31" t="n">
        <v>8834.32</v>
      </c>
      <c r="L31" t="n">
        <v>6896.34</v>
      </c>
      <c r="M31" t="n">
        <v>9321.950000000001</v>
      </c>
      <c r="N31" t="n">
        <v>3878.35</v>
      </c>
      <c r="O31" t="n">
        <v>9075.07</v>
      </c>
      <c r="P31" t="n">
        <v>8913.65</v>
      </c>
      <c r="Q31" t="n">
        <v>8948.16</v>
      </c>
      <c r="R31" t="n">
        <v>9425.120000000001</v>
      </c>
      <c r="S31" t="n">
        <v>10467.99</v>
      </c>
      <c r="T31" t="n">
        <v>9140.67</v>
      </c>
      <c r="U31" t="n">
        <v>15965.18</v>
      </c>
      <c r="V31" t="n">
        <v>8948.16</v>
      </c>
      <c r="W31" t="n">
        <v>15873.06</v>
      </c>
      <c r="X31" t="n">
        <v>10437.44</v>
      </c>
      <c r="Y31" t="n">
        <v>21660.5</v>
      </c>
      <c r="Z31" t="n">
        <v>16152.34</v>
      </c>
      <c r="AA31" t="n">
        <v>24314.28</v>
      </c>
      <c r="AB31" t="n">
        <v>15922.06</v>
      </c>
      <c r="AC31" t="n">
        <v>23532.57</v>
      </c>
      <c r="AD31" t="n">
        <v>21660.5</v>
      </c>
      <c r="AE31" t="n">
        <v>15219.69</v>
      </c>
      <c r="AF31" t="n">
        <v>24314.28</v>
      </c>
      <c r="AG31" t="n">
        <v>31034.74</v>
      </c>
      <c r="AH31" t="n">
        <v>23532.57</v>
      </c>
      <c r="AI31" t="n">
        <v>39306.45</v>
      </c>
      <c r="AJ31" t="n">
        <v>14916.92</v>
      </c>
      <c r="AK31" t="n">
        <v>40096.64</v>
      </c>
      <c r="AL31" t="n">
        <v>31590.85</v>
      </c>
      <c r="AM31" t="n">
        <v>65746.94</v>
      </c>
      <c r="AN31" t="n">
        <v>39891.93</v>
      </c>
      <c r="AO31" t="n">
        <v>69200.61</v>
      </c>
      <c r="AQ31" t="inlineStr">
        <is>
          <t>https://www.niftyindices.com/indices/equity/broad-based-indices/NIFTY-Midcap-100</t>
        </is>
      </c>
    </row>
    <row r="32">
      <c r="A32" t="inlineStr">
        <is>
          <t>NIFTY MIDSMALLCAP 400</t>
        </is>
      </c>
      <c r="B32" t="n">
        <v>1000</v>
      </c>
      <c r="C32" t="n">
        <v>22315.09</v>
      </c>
      <c r="D32" t="n">
        <v>20.9938</v>
      </c>
      <c r="E32" t="n">
        <v>20.88</v>
      </c>
      <c r="F32" t="n">
        <v>1000</v>
      </c>
      <c r="G32" t="n">
        <v>2257.61</v>
      </c>
      <c r="H32" t="n">
        <v>1759.14</v>
      </c>
      <c r="I32" t="n">
        <v>1112.49</v>
      </c>
      <c r="J32" t="n">
        <v>1754.2</v>
      </c>
      <c r="K32" t="n">
        <v>2642.98</v>
      </c>
      <c r="L32" t="n">
        <v>2243.53</v>
      </c>
      <c r="M32" t="n">
        <v>2735.11</v>
      </c>
      <c r="N32" t="n">
        <v>1132.96</v>
      </c>
      <c r="O32" t="n">
        <v>2571</v>
      </c>
      <c r="P32" t="n">
        <v>2676.64</v>
      </c>
      <c r="Q32" t="n">
        <v>2636.07</v>
      </c>
      <c r="R32" t="n">
        <v>2777.62</v>
      </c>
      <c r="S32" t="n">
        <v>3111.03</v>
      </c>
      <c r="T32" t="n">
        <v>2598.41</v>
      </c>
      <c r="U32" t="n">
        <v>5002.13</v>
      </c>
      <c r="V32" t="n">
        <v>2636.07</v>
      </c>
      <c r="W32" t="n">
        <v>4847.78</v>
      </c>
      <c r="X32" t="n">
        <v>3109.23</v>
      </c>
      <c r="Y32" t="n">
        <v>6706.21</v>
      </c>
      <c r="Z32" t="n">
        <v>5078.93</v>
      </c>
      <c r="AA32" t="n">
        <v>7865.86</v>
      </c>
      <c r="AB32" t="n">
        <v>4879.7</v>
      </c>
      <c r="AC32" t="n">
        <v>7415.06</v>
      </c>
      <c r="AD32" t="n">
        <v>6706.21</v>
      </c>
      <c r="AE32" t="n">
        <v>4912.29</v>
      </c>
      <c r="AF32" t="n">
        <v>7865.86</v>
      </c>
      <c r="AG32" t="n">
        <v>10149.29</v>
      </c>
      <c r="AH32" t="n">
        <v>7415.06</v>
      </c>
      <c r="AI32" t="n">
        <v>13050.34</v>
      </c>
      <c r="AJ32" t="n">
        <v>4835.08</v>
      </c>
      <c r="AK32" t="n">
        <v>13041.87</v>
      </c>
      <c r="AL32" t="n">
        <v>10320.18</v>
      </c>
      <c r="AM32" t="n">
        <v>21297.05</v>
      </c>
      <c r="AN32" t="n">
        <v>13242.18</v>
      </c>
      <c r="AO32" t="n">
        <v>22191.58</v>
      </c>
      <c r="AQ32" t="inlineStr">
        <is>
          <t>https://www.niftyindices.com/indices/equity/broad-based-indices/nifty-midsmallcap-400</t>
        </is>
      </c>
    </row>
    <row r="33">
      <c r="A33" t="inlineStr">
        <is>
          <t>NIFTY SMALLCAP 100</t>
        </is>
      </c>
      <c r="B33" t="n">
        <v>1501.99</v>
      </c>
      <c r="C33" t="n">
        <v>19675.32</v>
      </c>
      <c r="D33" t="n">
        <v>20.9938</v>
      </c>
      <c r="E33" t="n">
        <v>25.43</v>
      </c>
      <c r="F33" t="n">
        <v>1501.99</v>
      </c>
      <c r="G33" t="n">
        <v>3997.33</v>
      </c>
      <c r="H33" t="n">
        <v>2704.36</v>
      </c>
      <c r="I33" t="n">
        <v>1698.66</v>
      </c>
      <c r="J33" t="n">
        <v>3066.09</v>
      </c>
      <c r="K33" t="n">
        <v>3954.92</v>
      </c>
      <c r="L33" t="n">
        <v>3965.29</v>
      </c>
      <c r="M33" t="n">
        <v>3958.88</v>
      </c>
      <c r="N33" t="n">
        <v>1732.44</v>
      </c>
      <c r="O33" t="n">
        <v>3786.61</v>
      </c>
      <c r="P33" t="n">
        <v>3998.11</v>
      </c>
      <c r="Q33" t="n">
        <v>3626.58</v>
      </c>
      <c r="R33" t="n">
        <v>4032.14</v>
      </c>
      <c r="S33" t="n">
        <v>4247.93</v>
      </c>
      <c r="T33" t="n">
        <v>3853.52</v>
      </c>
      <c r="U33" t="n">
        <v>6524.85</v>
      </c>
      <c r="V33" t="n">
        <v>3626.58</v>
      </c>
      <c r="W33" t="n">
        <v>5732.33</v>
      </c>
      <c r="X33" t="n">
        <v>4263.61</v>
      </c>
      <c r="Y33" t="n">
        <v>8261.209999999999</v>
      </c>
      <c r="Z33" t="n">
        <v>6632.77</v>
      </c>
      <c r="AA33" t="n">
        <v>9547.940000000001</v>
      </c>
      <c r="AB33" t="n">
        <v>5849.37</v>
      </c>
      <c r="AC33" t="n">
        <v>8193.700000000001</v>
      </c>
      <c r="AD33" t="n">
        <v>8261.209999999999</v>
      </c>
      <c r="AE33" t="n">
        <v>4438.25</v>
      </c>
      <c r="AF33" t="n">
        <v>9547.940000000001</v>
      </c>
      <c r="AG33" t="n">
        <v>10094.65</v>
      </c>
      <c r="AH33" t="n">
        <v>8193.700000000001</v>
      </c>
      <c r="AI33" t="n">
        <v>13105.79</v>
      </c>
      <c r="AJ33" t="n">
        <v>4371.44</v>
      </c>
      <c r="AK33" t="n">
        <v>11409.49</v>
      </c>
      <c r="AL33" t="n">
        <v>10305.42</v>
      </c>
      <c r="AM33" t="n">
        <v>20130.98</v>
      </c>
      <c r="AN33" t="n">
        <v>13325.6</v>
      </c>
      <c r="AO33" t="n">
        <v>20550.77</v>
      </c>
      <c r="AQ33" t="inlineStr">
        <is>
          <t>https://www.niftyindices.com/indices/equity/broad-based-indices/NIFTY-Smallcap-100</t>
        </is>
      </c>
    </row>
    <row r="34">
      <c r="A34" t="inlineStr">
        <is>
          <t>NIFTY500 LARGEMIDSMALL EQUAL-CAP WEIGHTED</t>
        </is>
      </c>
      <c r="B34" t="n">
        <v>1000</v>
      </c>
      <c r="C34" t="n">
        <v>20286.53</v>
      </c>
      <c r="D34" t="n">
        <v>20.9938</v>
      </c>
      <c r="E34" t="n">
        <v>20.02</v>
      </c>
      <c r="F34" t="n">
        <v>1000</v>
      </c>
      <c r="G34" t="n">
        <v>2238.9</v>
      </c>
      <c r="H34" t="n">
        <v>1682.12</v>
      </c>
      <c r="I34" t="n">
        <v>1261.41</v>
      </c>
      <c r="J34" t="n">
        <v>1762.16</v>
      </c>
      <c r="K34" t="n">
        <v>2807.86</v>
      </c>
      <c r="L34" t="n">
        <v>2233.84</v>
      </c>
      <c r="M34" t="n">
        <v>3030.9</v>
      </c>
      <c r="N34" t="n">
        <v>1282.69</v>
      </c>
      <c r="O34" t="n">
        <v>2854.86</v>
      </c>
      <c r="P34" t="n">
        <v>2839.54</v>
      </c>
      <c r="Q34" t="n">
        <v>2921.42</v>
      </c>
      <c r="R34" t="n">
        <v>3067.35</v>
      </c>
      <c r="S34" t="n">
        <v>3507.61</v>
      </c>
      <c r="T34" t="n">
        <v>2880.95</v>
      </c>
      <c r="U34" t="n">
        <v>5255.02</v>
      </c>
      <c r="V34" t="n">
        <v>2921.42</v>
      </c>
      <c r="W34" t="n">
        <v>5013.97</v>
      </c>
      <c r="X34" t="n">
        <v>3514.71</v>
      </c>
      <c r="Y34" t="n">
        <v>6678.87</v>
      </c>
      <c r="Z34" t="n">
        <v>5335.96</v>
      </c>
      <c r="AA34" t="n">
        <v>7742.59</v>
      </c>
      <c r="AB34" t="n">
        <v>5033.48</v>
      </c>
      <c r="AC34" t="n">
        <v>7651.33</v>
      </c>
      <c r="AD34" t="n">
        <v>6678.87</v>
      </c>
      <c r="AE34" t="n">
        <v>5181.01</v>
      </c>
      <c r="AF34" t="n">
        <v>7742.59</v>
      </c>
      <c r="AG34" t="n">
        <v>10146.08</v>
      </c>
      <c r="AH34" t="n">
        <v>7651.33</v>
      </c>
      <c r="AI34" t="n">
        <v>12957.61</v>
      </c>
      <c r="AJ34" t="n">
        <v>5065.07</v>
      </c>
      <c r="AK34" t="n">
        <v>12749.12</v>
      </c>
      <c r="AL34" t="n">
        <v>10307.56</v>
      </c>
      <c r="AM34" t="n">
        <v>19726.73</v>
      </c>
      <c r="AN34" t="n">
        <v>13147.53</v>
      </c>
      <c r="AO34" t="n">
        <v>20523.48</v>
      </c>
      <c r="AQ34" t="inlineStr">
        <is>
          <t>https://www.niftyindices.com/indices/equity/broad-based-indices/nifty500-large-midsmall-equal-cap-weighted</t>
        </is>
      </c>
    </row>
    <row r="35">
      <c r="A35" t="inlineStr">
        <is>
          <t>NIFTY ALPHA QUALITY LOW-VOLATILITY 30</t>
        </is>
      </c>
      <c r="B35" t="n">
        <v>1000</v>
      </c>
      <c r="C35" t="n">
        <v>27525.99</v>
      </c>
      <c r="D35" t="n">
        <v>20.9938</v>
      </c>
      <c r="E35" t="n">
        <v>16.8</v>
      </c>
      <c r="F35" t="n">
        <v>1000</v>
      </c>
      <c r="G35" t="n">
        <v>2123.69</v>
      </c>
      <c r="H35" t="n">
        <v>1756.92</v>
      </c>
      <c r="I35" t="n">
        <v>1579.04</v>
      </c>
      <c r="J35" t="n">
        <v>1817.92</v>
      </c>
      <c r="K35" t="n">
        <v>2807.13</v>
      </c>
      <c r="L35" t="n">
        <v>2102.93</v>
      </c>
      <c r="M35" t="n">
        <v>3250.98</v>
      </c>
      <c r="N35" t="n">
        <v>1572.89</v>
      </c>
      <c r="O35" t="n">
        <v>3529.02</v>
      </c>
      <c r="P35" t="n">
        <v>2811.72</v>
      </c>
      <c r="Q35" t="n">
        <v>4100.73</v>
      </c>
      <c r="R35" t="n">
        <v>3258.11</v>
      </c>
      <c r="S35" t="n">
        <v>5059.56</v>
      </c>
      <c r="T35" t="n">
        <v>3543.08</v>
      </c>
      <c r="U35" t="n">
        <v>7563.44</v>
      </c>
      <c r="V35" t="n">
        <v>4100.73</v>
      </c>
      <c r="W35" t="n">
        <v>7321.01</v>
      </c>
      <c r="X35" t="n">
        <v>5075.62</v>
      </c>
      <c r="Y35" t="n">
        <v>9287.58</v>
      </c>
      <c r="Z35" t="n">
        <v>7619.75</v>
      </c>
      <c r="AA35" t="n">
        <v>10811.16</v>
      </c>
      <c r="AB35" t="n">
        <v>7313.36</v>
      </c>
      <c r="AC35" t="n">
        <v>11772.32</v>
      </c>
      <c r="AD35" t="n">
        <v>9287.58</v>
      </c>
      <c r="AE35" t="n">
        <v>10015.24</v>
      </c>
      <c r="AF35" t="n">
        <v>10811.16</v>
      </c>
      <c r="AG35" t="n">
        <v>15316.3</v>
      </c>
      <c r="AH35" t="n">
        <v>11772.32</v>
      </c>
      <c r="AI35" t="n">
        <v>18213.98</v>
      </c>
      <c r="AJ35" t="n">
        <v>9660.219999999999</v>
      </c>
      <c r="AK35" t="n">
        <v>17959.16</v>
      </c>
      <c r="AL35" t="n">
        <v>15386.13</v>
      </c>
      <c r="AM35" t="n">
        <v>28018.85</v>
      </c>
      <c r="AN35" t="n">
        <v>18281.59</v>
      </c>
      <c r="AO35" t="n">
        <v>27522.17</v>
      </c>
      <c r="AQ35" t="inlineStr">
        <is>
          <t>https://www.niftyindices.com/indices/equity/strategy-indices/nifty-alpha-quality-low-volatility30</t>
        </is>
      </c>
    </row>
    <row r="36">
      <c r="A36" t="inlineStr">
        <is>
          <t>NIFTY ALPHA QUALITY VALUE LOW-VOLATILITY 30</t>
        </is>
      </c>
      <c r="B36" t="n">
        <v>1000</v>
      </c>
      <c r="C36" t="n">
        <v>27809.15</v>
      </c>
      <c r="D36" t="n">
        <v>20.9938</v>
      </c>
      <c r="E36" t="n">
        <v>17.06</v>
      </c>
      <c r="F36" t="n">
        <v>1000</v>
      </c>
      <c r="G36" t="n">
        <v>1869.13</v>
      </c>
      <c r="H36" t="n">
        <v>1593.72</v>
      </c>
      <c r="I36" t="n">
        <v>1392.44</v>
      </c>
      <c r="J36" t="n">
        <v>1563.73</v>
      </c>
      <c r="K36" t="n">
        <v>2644.49</v>
      </c>
      <c r="L36" t="n">
        <v>1875.73</v>
      </c>
      <c r="M36" t="n">
        <v>3098.16</v>
      </c>
      <c r="N36" t="n">
        <v>1388.64</v>
      </c>
      <c r="O36" t="n">
        <v>3228.59</v>
      </c>
      <c r="P36" t="n">
        <v>2649.09</v>
      </c>
      <c r="Q36" t="n">
        <v>3657.05</v>
      </c>
      <c r="R36" t="n">
        <v>3100.24</v>
      </c>
      <c r="S36" t="n">
        <v>4424.93</v>
      </c>
      <c r="T36" t="n">
        <v>3232.79</v>
      </c>
      <c r="U36" t="n">
        <v>6264.84</v>
      </c>
      <c r="V36" t="n">
        <v>3657.05</v>
      </c>
      <c r="W36" t="n">
        <v>6162.77</v>
      </c>
      <c r="X36" t="n">
        <v>4441.97</v>
      </c>
      <c r="Y36" t="n">
        <v>7764.42</v>
      </c>
      <c r="Z36" t="n">
        <v>6306.07</v>
      </c>
      <c r="AA36" t="n">
        <v>9043.030000000001</v>
      </c>
      <c r="AB36" t="n">
        <v>6145.73</v>
      </c>
      <c r="AC36" t="n">
        <v>9725.620000000001</v>
      </c>
      <c r="AD36" t="n">
        <v>7764.42</v>
      </c>
      <c r="AE36" t="n">
        <v>8172.46</v>
      </c>
      <c r="AF36" t="n">
        <v>9043.030000000001</v>
      </c>
      <c r="AG36" t="n">
        <v>12599.52</v>
      </c>
      <c r="AH36" t="n">
        <v>9725.620000000001</v>
      </c>
      <c r="AI36" t="n">
        <v>15061.57</v>
      </c>
      <c r="AJ36" t="n">
        <v>7891.17</v>
      </c>
      <c r="AK36" t="n">
        <v>16333.72</v>
      </c>
      <c r="AL36" t="n">
        <v>12671.47</v>
      </c>
      <c r="AM36" t="n">
        <v>26933.88</v>
      </c>
      <c r="AN36" t="n">
        <v>15176.92</v>
      </c>
      <c r="AO36" t="n">
        <v>27913.52</v>
      </c>
      <c r="AQ36" t="inlineStr">
        <is>
          <t>https://www.niftyindices.com/indices/equity/strategy-indices/nifty-alpha-quality-value-low-volatility30</t>
        </is>
      </c>
    </row>
    <row r="37">
      <c r="A37" t="inlineStr">
        <is>
          <t>NIFTY HIGH BETA 50</t>
        </is>
      </c>
      <c r="B37" t="n">
        <v>1277.44</v>
      </c>
      <c r="C37" t="n">
        <v>4275.19</v>
      </c>
      <c r="D37" t="n">
        <v>20.9938</v>
      </c>
      <c r="E37" t="n">
        <v>32.25</v>
      </c>
      <c r="F37" t="n">
        <v>1277.44</v>
      </c>
      <c r="G37" t="n">
        <v>2359.41</v>
      </c>
      <c r="H37" t="n">
        <v>1864.63</v>
      </c>
      <c r="I37" t="n">
        <v>1100.46</v>
      </c>
      <c r="J37" t="n">
        <v>1798</v>
      </c>
      <c r="K37" t="n">
        <v>2690.56</v>
      </c>
      <c r="L37" t="n">
        <v>2356.04</v>
      </c>
      <c r="M37" t="n">
        <v>2349.37</v>
      </c>
      <c r="N37" t="n">
        <v>1142.94</v>
      </c>
      <c r="O37" t="n">
        <v>1826.11</v>
      </c>
      <c r="P37" t="n">
        <v>2720.88</v>
      </c>
      <c r="Q37" t="n">
        <v>1458.17</v>
      </c>
      <c r="R37" t="n">
        <v>2415.41</v>
      </c>
      <c r="S37" t="n">
        <v>1610.22</v>
      </c>
      <c r="T37" t="n">
        <v>1856.77</v>
      </c>
      <c r="U37" t="n">
        <v>2029.35</v>
      </c>
      <c r="V37" t="n">
        <v>1458.17</v>
      </c>
      <c r="W37" t="n">
        <v>1585.6</v>
      </c>
      <c r="X37" t="n">
        <v>1601.44</v>
      </c>
      <c r="Y37" t="n">
        <v>2206.92</v>
      </c>
      <c r="Z37" t="n">
        <v>2070.5</v>
      </c>
      <c r="AA37" t="n">
        <v>2427.49</v>
      </c>
      <c r="AB37" t="n">
        <v>1617.58</v>
      </c>
      <c r="AC37" t="n">
        <v>2132.39</v>
      </c>
      <c r="AD37" t="n">
        <v>2206.92</v>
      </c>
      <c r="AE37" t="n">
        <v>915.55</v>
      </c>
      <c r="AF37" t="n">
        <v>2427.49</v>
      </c>
      <c r="AG37" t="n">
        <v>2163.56</v>
      </c>
      <c r="AH37" t="n">
        <v>2132.39</v>
      </c>
      <c r="AI37" t="n">
        <v>2633.95</v>
      </c>
      <c r="AJ37" t="n">
        <v>893.5</v>
      </c>
      <c r="AK37" t="n">
        <v>2586.46</v>
      </c>
      <c r="AL37" t="n">
        <v>2228.4</v>
      </c>
      <c r="AM37" t="n">
        <v>4760.47</v>
      </c>
      <c r="AN37" t="n">
        <v>2705.93</v>
      </c>
      <c r="AO37" t="n">
        <v>4242.2</v>
      </c>
      <c r="AQ37" t="inlineStr">
        <is>
          <t>https://www.niftyindices.com/indices/equity/strategy-indices/nifty-high-beta50</t>
        </is>
      </c>
    </row>
    <row r="38">
      <c r="A38" t="inlineStr">
        <is>
          <t>NIFTY LOW VOLATILITY 50</t>
        </is>
      </c>
      <c r="B38" t="n">
        <v>1233.5</v>
      </c>
      <c r="C38" t="n">
        <v>31340.61</v>
      </c>
      <c r="D38" t="n">
        <v>20.9938</v>
      </c>
      <c r="E38" t="n">
        <v>16.23</v>
      </c>
      <c r="F38" t="n">
        <v>1233.5</v>
      </c>
      <c r="G38" t="n">
        <v>2813.62</v>
      </c>
      <c r="H38" t="n">
        <v>2297.29</v>
      </c>
      <c r="I38" t="n">
        <v>2063.85</v>
      </c>
      <c r="J38" t="n">
        <v>2262.88</v>
      </c>
      <c r="K38" t="n">
        <v>3968.47</v>
      </c>
      <c r="L38" t="n">
        <v>2817.73</v>
      </c>
      <c r="M38" t="n">
        <v>4664.81</v>
      </c>
      <c r="N38" t="n">
        <v>2062.1</v>
      </c>
      <c r="O38" t="n">
        <v>4603.01</v>
      </c>
      <c r="P38" t="n">
        <v>3972.45</v>
      </c>
      <c r="Q38" t="n">
        <v>5118.25</v>
      </c>
      <c r="R38" t="n">
        <v>4672.02</v>
      </c>
      <c r="S38" t="n">
        <v>5932.62</v>
      </c>
      <c r="T38" t="n">
        <v>4611.54</v>
      </c>
      <c r="U38" t="n">
        <v>8718.5</v>
      </c>
      <c r="V38" t="n">
        <v>5118.25</v>
      </c>
      <c r="W38" t="n">
        <v>8748.33</v>
      </c>
      <c r="X38" t="n">
        <v>5929.2</v>
      </c>
      <c r="Y38" t="n">
        <v>10716.19</v>
      </c>
      <c r="Z38" t="n">
        <v>8803.52</v>
      </c>
      <c r="AA38" t="n">
        <v>12117.31</v>
      </c>
      <c r="AB38" t="n">
        <v>8723.9</v>
      </c>
      <c r="AC38" t="n">
        <v>12985.97</v>
      </c>
      <c r="AD38" t="n">
        <v>10716.19</v>
      </c>
      <c r="AE38" t="n">
        <v>11191.8</v>
      </c>
      <c r="AF38" t="n">
        <v>12117.31</v>
      </c>
      <c r="AG38" t="n">
        <v>17835.11</v>
      </c>
      <c r="AH38" t="n">
        <v>12985.97</v>
      </c>
      <c r="AI38" t="n">
        <v>20233.2</v>
      </c>
      <c r="AJ38" t="n">
        <v>10887.07</v>
      </c>
      <c r="AK38" t="n">
        <v>20953.08</v>
      </c>
      <c r="AL38" t="n">
        <v>17947.67</v>
      </c>
      <c r="AM38" t="n">
        <v>30047.5</v>
      </c>
      <c r="AN38" t="n">
        <v>20471.99</v>
      </c>
      <c r="AO38" t="n">
        <v>31990.86</v>
      </c>
      <c r="AQ38" t="inlineStr">
        <is>
          <t>https://www.niftyindices.com/indices/equity/strategy-indices/nifty-low-volatility50</t>
        </is>
      </c>
    </row>
    <row r="39">
      <c r="A39" t="inlineStr">
        <is>
          <t>NIFTY MIDSMALLCAP400 MOMENTUM QUALITY 100</t>
        </is>
      </c>
      <c r="B39" t="n">
        <v>1000</v>
      </c>
      <c r="C39" t="n">
        <v>55527.25</v>
      </c>
      <c r="D39" t="n">
        <v>20.9938</v>
      </c>
      <c r="E39" t="n">
        <v>20.15</v>
      </c>
      <c r="F39" t="n">
        <v>1000</v>
      </c>
      <c r="G39" t="n">
        <v>2951.78</v>
      </c>
      <c r="H39" t="n">
        <v>2101.41</v>
      </c>
      <c r="I39" t="n">
        <v>1652.74</v>
      </c>
      <c r="J39" t="n">
        <v>2316.56</v>
      </c>
      <c r="K39" t="n">
        <v>3752.26</v>
      </c>
      <c r="L39" t="n">
        <v>2919.14</v>
      </c>
      <c r="M39" t="n">
        <v>4351.94</v>
      </c>
      <c r="N39" t="n">
        <v>1663.52</v>
      </c>
      <c r="O39" t="n">
        <v>4334.54</v>
      </c>
      <c r="P39" t="n">
        <v>3788.26</v>
      </c>
      <c r="Q39" t="n">
        <v>5049.36</v>
      </c>
      <c r="R39" t="n">
        <v>4399.39</v>
      </c>
      <c r="S39" t="n">
        <v>6504.42</v>
      </c>
      <c r="T39" t="n">
        <v>4368.92</v>
      </c>
      <c r="U39" t="n">
        <v>11469.28</v>
      </c>
      <c r="V39" t="n">
        <v>5049.36</v>
      </c>
      <c r="W39" t="n">
        <v>11083.26</v>
      </c>
      <c r="X39" t="n">
        <v>6516.31</v>
      </c>
      <c r="Y39" t="n">
        <v>14981</v>
      </c>
      <c r="Z39" t="n">
        <v>11657.5</v>
      </c>
      <c r="AA39" t="n">
        <v>18639.77</v>
      </c>
      <c r="AB39" t="n">
        <v>11119.1</v>
      </c>
      <c r="AC39" t="n">
        <v>18202.34</v>
      </c>
      <c r="AD39" t="n">
        <v>14981</v>
      </c>
      <c r="AE39" t="n">
        <v>13851.43</v>
      </c>
      <c r="AF39" t="n">
        <v>18639.77</v>
      </c>
      <c r="AG39" t="n">
        <v>26256.6</v>
      </c>
      <c r="AH39" t="n">
        <v>18202.34</v>
      </c>
      <c r="AI39" t="n">
        <v>36041.35</v>
      </c>
      <c r="AJ39" t="n">
        <v>13607.34</v>
      </c>
      <c r="AK39" t="n">
        <v>34620.28</v>
      </c>
      <c r="AL39" t="n">
        <v>26523</v>
      </c>
      <c r="AM39" t="n">
        <v>56805.59</v>
      </c>
      <c r="AN39" t="n">
        <v>36276.94</v>
      </c>
      <c r="AO39" t="n">
        <v>56155.64</v>
      </c>
      <c r="AQ39" t="inlineStr">
        <is>
          <t>https://www.niftyindices.com/indices/equity/strategy-indices/nifty-midsmallcap400-momentum-quality-100</t>
        </is>
      </c>
    </row>
    <row r="40">
      <c r="A40" t="inlineStr">
        <is>
          <t>NIFTY QUALITY LOW-VOLATILITY 30</t>
        </is>
      </c>
      <c r="B40" t="n">
        <v>1000</v>
      </c>
      <c r="C40" t="n">
        <v>21005.81</v>
      </c>
      <c r="D40" t="n">
        <v>20.9938</v>
      </c>
      <c r="E40" t="n">
        <v>16.07</v>
      </c>
      <c r="F40" t="n">
        <v>1000</v>
      </c>
      <c r="G40" t="n">
        <v>2035.66</v>
      </c>
      <c r="H40" t="n">
        <v>1767.36</v>
      </c>
      <c r="I40" t="n">
        <v>1568.36</v>
      </c>
      <c r="J40" t="n">
        <v>1800.83</v>
      </c>
      <c r="K40" t="n">
        <v>2780</v>
      </c>
      <c r="L40" t="n">
        <v>2034.06</v>
      </c>
      <c r="M40" t="n">
        <v>3258.42</v>
      </c>
      <c r="N40" t="n">
        <v>1560.94</v>
      </c>
      <c r="O40" t="n">
        <v>3627.5</v>
      </c>
      <c r="P40" t="n">
        <v>2779.82</v>
      </c>
      <c r="Q40" t="n">
        <v>4148.86</v>
      </c>
      <c r="R40" t="n">
        <v>3277.48</v>
      </c>
      <c r="S40" t="n">
        <v>5237.55</v>
      </c>
      <c r="T40" t="n">
        <v>3639.61</v>
      </c>
      <c r="U40" t="n">
        <v>7686.2</v>
      </c>
      <c r="V40" t="n">
        <v>4148.86</v>
      </c>
      <c r="W40" t="n">
        <v>7553.13</v>
      </c>
      <c r="X40" t="n">
        <v>5242.92</v>
      </c>
      <c r="Y40" t="n">
        <v>8608.01</v>
      </c>
      <c r="Z40" t="n">
        <v>7726.69</v>
      </c>
      <c r="AA40" t="n">
        <v>9759.799999999999</v>
      </c>
      <c r="AB40" t="n">
        <v>7540.27</v>
      </c>
      <c r="AC40" t="n">
        <v>10471.97</v>
      </c>
      <c r="AD40" t="n">
        <v>8608.01</v>
      </c>
      <c r="AE40" t="n">
        <v>8928.959999999999</v>
      </c>
      <c r="AF40" t="n">
        <v>9759.799999999999</v>
      </c>
      <c r="AG40" t="n">
        <v>13620.27</v>
      </c>
      <c r="AH40" t="n">
        <v>10471.97</v>
      </c>
      <c r="AI40" t="n">
        <v>15834.85</v>
      </c>
      <c r="AJ40" t="n">
        <v>8647.1</v>
      </c>
      <c r="AK40" t="n">
        <v>16081.84</v>
      </c>
      <c r="AL40" t="n">
        <v>13662.74</v>
      </c>
      <c r="AM40" t="n">
        <v>22071.59</v>
      </c>
      <c r="AN40" t="n">
        <v>15955.82</v>
      </c>
      <c r="AO40" t="n">
        <v>21990.37</v>
      </c>
      <c r="AQ40" t="inlineStr">
        <is>
          <t>https://www.niftyindices.com/indices/equity/strategy-indices/nifty-quality-low-volatility30</t>
        </is>
      </c>
    </row>
    <row r="41">
      <c r="A41" t="inlineStr">
        <is>
          <t>NIFTY SMALLCAP250 MOMENTUM QUALITY 100</t>
        </is>
      </c>
      <c r="B41" t="n">
        <v>1000</v>
      </c>
      <c r="C41" t="n">
        <v>50402.11</v>
      </c>
      <c r="D41" t="n">
        <v>20.9938</v>
      </c>
      <c r="E41" t="n">
        <v>21.72</v>
      </c>
      <c r="F41" t="n">
        <v>1000</v>
      </c>
      <c r="G41" t="n">
        <v>2906.69</v>
      </c>
      <c r="H41" t="n">
        <v>1999.67</v>
      </c>
      <c r="I41" t="n">
        <v>1492.32</v>
      </c>
      <c r="J41" t="n">
        <v>2395.42</v>
      </c>
      <c r="K41" t="n">
        <v>3783.79</v>
      </c>
      <c r="L41" t="n">
        <v>2906.13</v>
      </c>
      <c r="M41" t="n">
        <v>4155.66</v>
      </c>
      <c r="N41" t="n">
        <v>1535.19</v>
      </c>
      <c r="O41" t="n">
        <v>4175.04</v>
      </c>
      <c r="P41" t="n">
        <v>3836.36</v>
      </c>
      <c r="Q41" t="n">
        <v>4631.83</v>
      </c>
      <c r="R41" t="n">
        <v>4225.3</v>
      </c>
      <c r="S41" t="n">
        <v>6237.37</v>
      </c>
      <c r="T41" t="n">
        <v>4216.7</v>
      </c>
      <c r="U41" t="n">
        <v>11076.81</v>
      </c>
      <c r="V41" t="n">
        <v>4631.83</v>
      </c>
      <c r="W41" t="n">
        <v>10785.46</v>
      </c>
      <c r="X41" t="n">
        <v>6249.18</v>
      </c>
      <c r="Y41" t="n">
        <v>15830.15</v>
      </c>
      <c r="Z41" t="n">
        <v>11380.05</v>
      </c>
      <c r="AA41" t="n">
        <v>19684.96</v>
      </c>
      <c r="AB41" t="n">
        <v>10861.68</v>
      </c>
      <c r="AC41" t="n">
        <v>18643.74</v>
      </c>
      <c r="AD41" t="n">
        <v>15830.15</v>
      </c>
      <c r="AE41" t="n">
        <v>12209.26</v>
      </c>
      <c r="AF41" t="n">
        <v>19684.96</v>
      </c>
      <c r="AG41" t="n">
        <v>26419.46</v>
      </c>
      <c r="AH41" t="n">
        <v>18643.74</v>
      </c>
      <c r="AI41" t="n">
        <v>37438.34</v>
      </c>
      <c r="AJ41" t="n">
        <v>12018.16</v>
      </c>
      <c r="AK41" t="n">
        <v>34948.49</v>
      </c>
      <c r="AL41" t="n">
        <v>26866.77</v>
      </c>
      <c r="AM41" t="n">
        <v>58278.19</v>
      </c>
      <c r="AN41" t="n">
        <v>38085.17</v>
      </c>
      <c r="AO41" t="n">
        <v>55452.52</v>
      </c>
      <c r="AQ41" t="inlineStr">
        <is>
          <t>https://www.niftyindices.com/indices/equity/strategy-indices/nifty-smallcap250-momentum-quality-100</t>
        </is>
      </c>
    </row>
    <row r="42">
      <c r="A42" t="inlineStr">
        <is>
          <t>NIFTY TOP 15 EQUAL WEIGHT</t>
        </is>
      </c>
      <c r="B42" t="n">
        <v>1000</v>
      </c>
      <c r="C42" t="n">
        <v>11864</v>
      </c>
      <c r="D42" t="n">
        <v>20.0767</v>
      </c>
      <c r="E42" t="n">
        <v>21.94</v>
      </c>
      <c r="G42" t="n">
        <v>1651.23</v>
      </c>
      <c r="H42" t="n">
        <v>1081.11</v>
      </c>
      <c r="I42" t="n">
        <v>1103.98</v>
      </c>
      <c r="J42" t="n">
        <v>1242.61</v>
      </c>
      <c r="K42" t="n">
        <v>2038.76</v>
      </c>
      <c r="L42" t="n">
        <v>1634.31</v>
      </c>
      <c r="M42" t="n">
        <v>2360.79</v>
      </c>
      <c r="N42" t="n">
        <v>1126.12</v>
      </c>
      <c r="O42" t="n">
        <v>2175.44</v>
      </c>
      <c r="P42" t="n">
        <v>2054.3</v>
      </c>
      <c r="Q42" t="n">
        <v>2425.91</v>
      </c>
      <c r="R42" t="n">
        <v>2354.88</v>
      </c>
      <c r="S42" t="n">
        <v>2993.05</v>
      </c>
      <c r="T42" t="n">
        <v>2193.88</v>
      </c>
      <c r="U42" t="n">
        <v>3942.11</v>
      </c>
      <c r="V42" t="n">
        <v>2425.91</v>
      </c>
      <c r="W42" t="n">
        <v>3581.06</v>
      </c>
      <c r="X42" t="n">
        <v>3002.26</v>
      </c>
      <c r="Y42" t="n">
        <v>4229.04</v>
      </c>
      <c r="Z42" t="n">
        <v>3989.77</v>
      </c>
      <c r="AA42" t="n">
        <v>4728.23</v>
      </c>
      <c r="AB42" t="n">
        <v>3576.79</v>
      </c>
      <c r="AC42" t="n">
        <v>5706.12</v>
      </c>
      <c r="AD42" t="n">
        <v>4229.04</v>
      </c>
      <c r="AE42" t="n">
        <v>4098.77</v>
      </c>
      <c r="AF42" t="n">
        <v>4728.23</v>
      </c>
      <c r="AG42" t="n">
        <v>7082.28</v>
      </c>
      <c r="AH42" t="n">
        <v>5706.12</v>
      </c>
      <c r="AI42" t="n">
        <v>8455.559999999999</v>
      </c>
      <c r="AJ42" t="n">
        <v>3909.95</v>
      </c>
      <c r="AK42" t="n">
        <v>9105.98</v>
      </c>
      <c r="AL42" t="n">
        <v>7161.72</v>
      </c>
      <c r="AM42" t="n">
        <v>11493.94</v>
      </c>
      <c r="AN42" t="n">
        <v>8574.48</v>
      </c>
      <c r="AO42" t="n">
        <v>12317.4</v>
      </c>
      <c r="AQ42" t="inlineStr">
        <is>
          <t>https://www.niftyindices.com/indices/equity/strategy-indices/nifty-top15-equal-weight</t>
        </is>
      </c>
    </row>
    <row r="43">
      <c r="A43" t="inlineStr">
        <is>
          <t>NIFTY TOP 20 EQUAL WEIGHT</t>
        </is>
      </c>
      <c r="B43" t="n">
        <v>1000</v>
      </c>
      <c r="C43" t="n">
        <v>10737.43</v>
      </c>
      <c r="D43" t="n">
        <v>20.0767</v>
      </c>
      <c r="E43" t="n">
        <v>21.54</v>
      </c>
      <c r="G43" t="n">
        <v>1576.25</v>
      </c>
      <c r="H43" t="n">
        <v>1074.7</v>
      </c>
      <c r="I43" t="n">
        <v>1038.21</v>
      </c>
      <c r="J43" t="n">
        <v>1177.79</v>
      </c>
      <c r="K43" t="n">
        <v>1927.02</v>
      </c>
      <c r="L43" t="n">
        <v>1565.19</v>
      </c>
      <c r="M43" t="n">
        <v>2229.89</v>
      </c>
      <c r="N43" t="n">
        <v>1053.98</v>
      </c>
      <c r="O43" t="n">
        <v>2059.91</v>
      </c>
      <c r="P43" t="n">
        <v>1936.77</v>
      </c>
      <c r="Q43" t="n">
        <v>2193.49</v>
      </c>
      <c r="R43" t="n">
        <v>2224.46</v>
      </c>
      <c r="S43" t="n">
        <v>2639.04</v>
      </c>
      <c r="T43" t="n">
        <v>2071.51</v>
      </c>
      <c r="U43" t="n">
        <v>3475.21</v>
      </c>
      <c r="V43" t="n">
        <v>2193.49</v>
      </c>
      <c r="W43" t="n">
        <v>3126.74</v>
      </c>
      <c r="X43" t="n">
        <v>2645.19</v>
      </c>
      <c r="Y43" t="n">
        <v>3738.19</v>
      </c>
      <c r="Z43" t="n">
        <v>3527.7</v>
      </c>
      <c r="AA43" t="n">
        <v>4235.31</v>
      </c>
      <c r="AB43" t="n">
        <v>3112.08</v>
      </c>
      <c r="AC43" t="n">
        <v>4812.26</v>
      </c>
      <c r="AD43" t="n">
        <v>3738.19</v>
      </c>
      <c r="AE43" t="n">
        <v>3581.26</v>
      </c>
      <c r="AF43" t="n">
        <v>4235.31</v>
      </c>
      <c r="AG43" t="n">
        <v>6329.22</v>
      </c>
      <c r="AH43" t="n">
        <v>4812.26</v>
      </c>
      <c r="AI43" t="n">
        <v>7412.45</v>
      </c>
      <c r="AJ43" t="n">
        <v>3425.06</v>
      </c>
      <c r="AK43" t="n">
        <v>7956.08</v>
      </c>
      <c r="AL43" t="n">
        <v>6406.94</v>
      </c>
      <c r="AM43" t="n">
        <v>10552.22</v>
      </c>
      <c r="AN43" t="n">
        <v>7511.39</v>
      </c>
      <c r="AO43" t="n">
        <v>11133.89</v>
      </c>
      <c r="AQ43" t="inlineStr">
        <is>
          <t>https://www.niftyindices.com/indices/equity/strategy-indices/nifty-top20-equal-weight</t>
        </is>
      </c>
    </row>
    <row r="44">
      <c r="A44" t="inlineStr">
        <is>
          <t>NIFTY100 ALPHA 30</t>
        </is>
      </c>
      <c r="B44" t="n">
        <v>1000</v>
      </c>
      <c r="C44" t="n">
        <v>20211.59</v>
      </c>
      <c r="D44" t="n">
        <v>20.9938</v>
      </c>
      <c r="E44" t="n">
        <v>22.11</v>
      </c>
      <c r="F44" t="n">
        <v>1000</v>
      </c>
      <c r="G44" t="n">
        <v>2607.38</v>
      </c>
      <c r="H44" t="n">
        <v>1767.4</v>
      </c>
      <c r="I44" t="n">
        <v>1308.27</v>
      </c>
      <c r="J44" t="n">
        <v>1960.1</v>
      </c>
      <c r="K44" t="n">
        <v>2160.82</v>
      </c>
      <c r="L44" t="n">
        <v>2599.04</v>
      </c>
      <c r="M44" t="n">
        <v>2516.82</v>
      </c>
      <c r="N44" t="n">
        <v>1305.46</v>
      </c>
      <c r="O44" t="n">
        <v>2518.61</v>
      </c>
      <c r="P44" t="n">
        <v>2178.44</v>
      </c>
      <c r="Q44" t="n">
        <v>2939.2</v>
      </c>
      <c r="R44" t="n">
        <v>2515.68</v>
      </c>
      <c r="S44" t="n">
        <v>3364</v>
      </c>
      <c r="T44" t="n">
        <v>2536.95</v>
      </c>
      <c r="U44" t="n">
        <v>4961.73</v>
      </c>
      <c r="V44" t="n">
        <v>2939.2</v>
      </c>
      <c r="W44" t="n">
        <v>4809.67</v>
      </c>
      <c r="X44" t="n">
        <v>3384.05</v>
      </c>
      <c r="Y44" t="n">
        <v>6519.46</v>
      </c>
      <c r="Z44" t="n">
        <v>5024.59</v>
      </c>
      <c r="AA44" t="n">
        <v>7641.13</v>
      </c>
      <c r="AB44" t="n">
        <v>4797.17</v>
      </c>
      <c r="AC44" t="n">
        <v>8547.91</v>
      </c>
      <c r="AD44" t="n">
        <v>6519.46</v>
      </c>
      <c r="AE44" t="n">
        <v>7502.03</v>
      </c>
      <c r="AF44" t="n">
        <v>7641.13</v>
      </c>
      <c r="AG44" t="n">
        <v>11504.39</v>
      </c>
      <c r="AH44" t="n">
        <v>8547.91</v>
      </c>
      <c r="AI44" t="n">
        <v>16054.19</v>
      </c>
      <c r="AJ44" t="n">
        <v>7225.57</v>
      </c>
      <c r="AK44" t="n">
        <v>12756.21</v>
      </c>
      <c r="AL44" t="n">
        <v>11821.78</v>
      </c>
      <c r="AM44" t="n">
        <v>22332.21</v>
      </c>
      <c r="AN44" t="n">
        <v>16141.97</v>
      </c>
      <c r="AO44" t="n">
        <v>20897.12</v>
      </c>
      <c r="AQ44" t="inlineStr">
        <is>
          <t>https://www.niftyindices.com/indices/equity/strategy-indices/nifty100-alpha30</t>
        </is>
      </c>
    </row>
    <row r="45">
      <c r="A45" t="inlineStr">
        <is>
          <t>NIFTY500 LOW VOLATILITY 50</t>
        </is>
      </c>
      <c r="B45" t="n">
        <v>1000</v>
      </c>
      <c r="C45" t="n">
        <v>28176.06</v>
      </c>
      <c r="D45" t="n">
        <v>20.9938</v>
      </c>
      <c r="E45" t="n">
        <v>16.16</v>
      </c>
      <c r="F45" t="n">
        <v>1000</v>
      </c>
      <c r="G45" t="n">
        <v>2392.43</v>
      </c>
      <c r="H45" t="n">
        <v>1793.67</v>
      </c>
      <c r="I45" t="n">
        <v>1827.28</v>
      </c>
      <c r="J45" t="n">
        <v>1878.16</v>
      </c>
      <c r="K45" t="n">
        <v>3443.56</v>
      </c>
      <c r="L45" t="n">
        <v>2397.06</v>
      </c>
      <c r="M45" t="n">
        <v>3930.23</v>
      </c>
      <c r="N45" t="n">
        <v>1815.75</v>
      </c>
      <c r="O45" t="n">
        <v>3816.29</v>
      </c>
      <c r="P45" t="n">
        <v>3454.81</v>
      </c>
      <c r="Q45" t="n">
        <v>4276.04</v>
      </c>
      <c r="R45" t="n">
        <v>3925.47</v>
      </c>
      <c r="S45" t="n">
        <v>5027.57</v>
      </c>
      <c r="T45" t="n">
        <v>3822.95</v>
      </c>
      <c r="U45" t="n">
        <v>6942.63</v>
      </c>
      <c r="V45" t="n">
        <v>4276.04</v>
      </c>
      <c r="W45" t="n">
        <v>6730.61</v>
      </c>
      <c r="X45" t="n">
        <v>5036.42</v>
      </c>
      <c r="Y45" t="n">
        <v>8064.79</v>
      </c>
      <c r="Z45" t="n">
        <v>7014.65</v>
      </c>
      <c r="AA45" t="n">
        <v>9336.49</v>
      </c>
      <c r="AB45" t="n">
        <v>6729.29</v>
      </c>
      <c r="AC45" t="n">
        <v>10347.29</v>
      </c>
      <c r="AD45" t="n">
        <v>8064.79</v>
      </c>
      <c r="AE45" t="n">
        <v>9019</v>
      </c>
      <c r="AF45" t="n">
        <v>9336.49</v>
      </c>
      <c r="AG45" t="n">
        <v>14061.12</v>
      </c>
      <c r="AH45" t="n">
        <v>10347.29</v>
      </c>
      <c r="AI45" t="n">
        <v>15857.66</v>
      </c>
      <c r="AJ45" t="n">
        <v>8694.299999999999</v>
      </c>
      <c r="AK45" t="n">
        <v>17192.95</v>
      </c>
      <c r="AL45" t="n">
        <v>14136.4</v>
      </c>
      <c r="AM45" t="n">
        <v>25165.55</v>
      </c>
      <c r="AN45" t="n">
        <v>16029.1</v>
      </c>
      <c r="AO45" t="n">
        <v>26929.59</v>
      </c>
      <c r="AQ45" t="inlineStr">
        <is>
          <t>https://www.niftyindices.com/indices/equity/strategy-indices/nifty500-low--volatility-50</t>
        </is>
      </c>
    </row>
    <row r="46">
      <c r="A46" t="inlineStr">
        <is>
          <t>NIFTY500 QUALITY 50</t>
        </is>
      </c>
      <c r="B46" t="n">
        <v>1000</v>
      </c>
      <c r="C46" t="n">
        <v>23717.12</v>
      </c>
      <c r="D46" t="n">
        <v>20.9938</v>
      </c>
      <c r="E46" t="n">
        <v>18.25</v>
      </c>
      <c r="F46" t="n">
        <v>1000</v>
      </c>
      <c r="G46" t="n">
        <v>1911.12</v>
      </c>
      <c r="H46" t="n">
        <v>1683.83</v>
      </c>
      <c r="I46" t="n">
        <v>1327</v>
      </c>
      <c r="J46" t="n">
        <v>1612.5</v>
      </c>
      <c r="K46" t="n">
        <v>2944.13</v>
      </c>
      <c r="L46" t="n">
        <v>1897.09</v>
      </c>
      <c r="M46" t="n">
        <v>3277.48</v>
      </c>
      <c r="N46" t="n">
        <v>1333.76</v>
      </c>
      <c r="O46" t="n">
        <v>3341.42</v>
      </c>
      <c r="P46" t="n">
        <v>2958.51</v>
      </c>
      <c r="Q46" t="n">
        <v>3708.16</v>
      </c>
      <c r="R46" t="n">
        <v>3282.31</v>
      </c>
      <c r="S46" t="n">
        <v>4730.53</v>
      </c>
      <c r="T46" t="n">
        <v>3357.29</v>
      </c>
      <c r="U46" t="n">
        <v>7157.63</v>
      </c>
      <c r="V46" t="n">
        <v>3708.16</v>
      </c>
      <c r="W46" t="n">
        <v>7046.58</v>
      </c>
      <c r="X46" t="n">
        <v>4736.24</v>
      </c>
      <c r="Y46" t="n">
        <v>8127.46</v>
      </c>
      <c r="Z46" t="n">
        <v>7219.77</v>
      </c>
      <c r="AA46" t="n">
        <v>9569.35</v>
      </c>
      <c r="AB46" t="n">
        <v>7040.1</v>
      </c>
      <c r="AC46" t="n">
        <v>9915.4</v>
      </c>
      <c r="AD46" t="n">
        <v>8127.46</v>
      </c>
      <c r="AE46" t="n">
        <v>7805.71</v>
      </c>
      <c r="AF46" t="n">
        <v>9569.35</v>
      </c>
      <c r="AG46" t="n">
        <v>13011.56</v>
      </c>
      <c r="AH46" t="n">
        <v>9915.4</v>
      </c>
      <c r="AI46" t="n">
        <v>15489.51</v>
      </c>
      <c r="AJ46" t="n">
        <v>7583.42</v>
      </c>
      <c r="AK46" t="n">
        <v>14749.58</v>
      </c>
      <c r="AL46" t="n">
        <v>13111.42</v>
      </c>
      <c r="AM46" t="n">
        <v>22976</v>
      </c>
      <c r="AN46" t="n">
        <v>15656.4</v>
      </c>
      <c r="AO46" t="n">
        <v>24150.25</v>
      </c>
      <c r="AQ46" t="inlineStr">
        <is>
          <t>https://www.niftyindices.com/indices/equity/strategy-indices/nifty500--quality-50</t>
        </is>
      </c>
    </row>
  </sheetData>
  <autoFilter ref="A1:AP46">
    <sortState ref="A2:AP46">
      <sortCondition ref="AP1:AP46"/>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6"/>
  <sheetViews>
    <sheetView workbookViewId="0">
      <pane xSplit="1" ySplit="1" topLeftCell="X2" activePane="bottomRight" state="frozen"/>
      <selection pane="topRight" activeCell="A1" sqref="A1"/>
      <selection pane="bottomLeft" activeCell="A1" sqref="A1"/>
      <selection pane="bottomRight" activeCell="Z2" sqref="Z2"/>
    </sheetView>
  </sheetViews>
  <sheetFormatPr baseColWidth="8" defaultRowHeight="14.5"/>
  <cols>
    <col width="45" customWidth="1" min="1" max="1"/>
    <col width="12" customWidth="1" min="2" max="2"/>
    <col width="18" customWidth="1" min="3" max="3"/>
    <col width="14" customWidth="1" min="4" max="4"/>
    <col width="28" customWidth="1" min="5" max="5"/>
    <col width="60" customWidth="1" min="27" max="27"/>
    <col width="14" customWidth="1" min="28" max="28"/>
  </cols>
  <sheetData>
    <row r="1" ht="43.5" customHeight="1">
      <c r="A1" s="2" t="inlineStr">
        <is>
          <t>Index Name</t>
        </is>
      </c>
      <c r="B1" s="2" t="inlineStr">
        <is>
          <t>CAGR (%)</t>
        </is>
      </c>
      <c r="C1" s="2" t="inlineStr">
        <is>
          <t>Std Dev (%)</t>
        </is>
      </c>
      <c r="D1" s="2" t="inlineStr">
        <is>
          <t>Years of Data</t>
        </is>
      </c>
      <c r="E1" s="2" t="inlineStr">
        <is>
          <t>Average 3 Year Rolling Return (%)</t>
        </is>
      </c>
      <c r="F1" s="2" t="inlineStr">
        <is>
          <t>Year 1</t>
        </is>
      </c>
      <c r="G1" s="2" t="inlineStr">
        <is>
          <t>Year 2</t>
        </is>
      </c>
      <c r="H1" s="2" t="inlineStr">
        <is>
          <t>Year 3</t>
        </is>
      </c>
      <c r="I1" s="2" t="inlineStr">
        <is>
          <t>Year 4</t>
        </is>
      </c>
      <c r="J1" s="2" t="inlineStr">
        <is>
          <t>Year 5</t>
        </is>
      </c>
      <c r="K1" s="2" t="inlineStr">
        <is>
          <t>Year 6</t>
        </is>
      </c>
      <c r="L1" s="2" t="inlineStr">
        <is>
          <t>Year 7</t>
        </is>
      </c>
      <c r="M1" s="2" t="inlineStr">
        <is>
          <t>Year 8</t>
        </is>
      </c>
      <c r="N1" s="2" t="inlineStr">
        <is>
          <t>Year 9</t>
        </is>
      </c>
      <c r="O1" s="2" t="inlineStr">
        <is>
          <t>Year 10</t>
        </is>
      </c>
      <c r="P1" s="2" t="inlineStr">
        <is>
          <t>Year 11</t>
        </is>
      </c>
      <c r="Q1" s="2" t="inlineStr">
        <is>
          <t>Year 12</t>
        </is>
      </c>
      <c r="R1" s="2" t="inlineStr">
        <is>
          <t>Year 13</t>
        </is>
      </c>
      <c r="S1" s="2" t="inlineStr">
        <is>
          <t>Year 14</t>
        </is>
      </c>
      <c r="T1" s="2" t="inlineStr">
        <is>
          <t>Year 15</t>
        </is>
      </c>
      <c r="U1" s="2" t="inlineStr">
        <is>
          <t>Year 16</t>
        </is>
      </c>
      <c r="V1" s="2" t="inlineStr">
        <is>
          <t>Year 17</t>
        </is>
      </c>
      <c r="W1" s="2" t="inlineStr">
        <is>
          <t>Year 18</t>
        </is>
      </c>
      <c r="X1" s="2" t="inlineStr">
        <is>
          <t>Top Quartile Count</t>
        </is>
      </c>
      <c r="Y1" s="2" t="inlineStr">
        <is>
          <t>Bottom Quartile Count</t>
        </is>
      </c>
      <c r="Z1" s="2" t="inlineStr">
        <is>
          <t>Top/Bottom</t>
        </is>
      </c>
      <c r="AA1" s="2" t="inlineStr">
        <is>
          <t>AMCs</t>
        </is>
      </c>
      <c r="AB1" s="2" t="inlineStr">
        <is>
          <t>Source</t>
        </is>
      </c>
    </row>
    <row r="2">
      <c r="A2">
        <f>'Raw Data 3Y'!A41</f>
        <v/>
      </c>
      <c r="B2" s="3">
        <f>IFERROR((('Raw Data 3Y'!C41/'Raw Data 3Y'!B41)^(1/'Raw Data 3Y'!D41)-1)*100,"")</f>
        <v/>
      </c>
      <c r="C2" s="3">
        <f>'Raw Data 3Y'!E41</f>
        <v/>
      </c>
      <c r="D2" s="3">
        <f>INT('Raw Data 3Y'!D41)</f>
        <v/>
      </c>
      <c r="E2" s="3">
        <f>IFERROR(AVERAGE(F2:W2),"")</f>
        <v/>
      </c>
      <c r="F2" s="3">
        <f>IFERROR((('Raw Data 3Y'!G41/'Raw Data 3Y'!F41)^(1/3)-1)*100,"")</f>
        <v/>
      </c>
      <c r="G2" s="3">
        <f>IFERROR((('Raw Data 3Y'!I41/'Raw Data 3Y'!H41)^(1/3)-1)*100,"")</f>
        <v/>
      </c>
      <c r="H2" s="3">
        <f>IFERROR((('Raw Data 3Y'!K41/'Raw Data 3Y'!J41)^(1/3)-1)*100,"")</f>
        <v/>
      </c>
      <c r="I2" s="3">
        <f>IFERROR((('Raw Data 3Y'!M41/'Raw Data 3Y'!L41)^(1/3)-1)*100,"")</f>
        <v/>
      </c>
      <c r="J2" s="3">
        <f>IFERROR((('Raw Data 3Y'!O41/'Raw Data 3Y'!N41)^(1/3)-1)*100,"")</f>
        <v/>
      </c>
      <c r="K2" s="3">
        <f>IFERROR((('Raw Data 3Y'!Q41/'Raw Data 3Y'!P41)^(1/3)-1)*100,"")</f>
        <v/>
      </c>
      <c r="L2" s="3">
        <f>IFERROR((('Raw Data 3Y'!S41/'Raw Data 3Y'!R41)^(1/3)-1)*100,"")</f>
        <v/>
      </c>
      <c r="M2" s="3">
        <f>IFERROR((('Raw Data 3Y'!U41/'Raw Data 3Y'!T41)^(1/3)-1)*100,"")</f>
        <v/>
      </c>
      <c r="N2" s="3">
        <f>IFERROR((('Raw Data 3Y'!W41/'Raw Data 3Y'!V41)^(1/3)-1)*100,"")</f>
        <v/>
      </c>
      <c r="O2" s="3">
        <f>IFERROR((('Raw Data 3Y'!Y41/'Raw Data 3Y'!X41)^(1/3)-1)*100,"")</f>
        <v/>
      </c>
      <c r="P2" s="3">
        <f>IFERROR((('Raw Data 3Y'!AA41/'Raw Data 3Y'!Z41)^(1/3)-1)*100,"")</f>
        <v/>
      </c>
      <c r="Q2" s="3">
        <f>IFERROR((('Raw Data 3Y'!AC41/'Raw Data 3Y'!AB41)^(1/3)-1)*100,"")</f>
        <v/>
      </c>
      <c r="R2" s="3">
        <f>IFERROR((('Raw Data 3Y'!AE41/'Raw Data 3Y'!AD41)^(1/3)-1)*100,"")</f>
        <v/>
      </c>
      <c r="S2" s="3">
        <f>IFERROR((('Raw Data 3Y'!AG41/'Raw Data 3Y'!AF41)^(1/3)-1)*100,"")</f>
        <v/>
      </c>
      <c r="T2" s="3">
        <f>IFERROR((('Raw Data 3Y'!AI41/'Raw Data 3Y'!AH41)^(1/3)-1)*100,"")</f>
        <v/>
      </c>
      <c r="U2" s="3">
        <f>IFERROR((('Raw Data 3Y'!AK41/'Raw Data 3Y'!AJ41)^(1/3)-1)*100,"")</f>
        <v/>
      </c>
      <c r="V2" s="3">
        <f>IFERROR((('Raw Data 3Y'!AM41/'Raw Data 3Y'!AL41)^(1/3)-1)*100,"")</f>
        <v/>
      </c>
      <c r="W2" s="3">
        <f>IFERROR((('Raw Data 3Y'!AO41/'Raw Data 3Y'!AN41)^(1/3)-1)*100,"")</f>
        <v/>
      </c>
      <c r="X2" s="3">
        <f>IF(AND(ISNUMBER(F2),COUNT(F$2:F$46)&gt;=4),IF(F2&gt;=QUARTILE(F$2:F$46,3),1,0),0)+IF(AND(ISNUMBER(G2),COUNT(G$2:G$46)&gt;=4),IF(G2&gt;=QUARTILE(G$2:G$46,3),1,0),0)+IF(AND(ISNUMBER(H2),COUNT(H$2:H$46)&gt;=4),IF(H2&gt;=QUARTILE(H$2:H$46,3),1,0),0)+IF(AND(ISNUMBER(I2),COUNT(I$2:I$46)&gt;=4),IF(I2&gt;=QUARTILE(I$2:I$46,3),1,0),0)+IF(AND(ISNUMBER(J2),COUNT(J$2:J$46)&gt;=4),IF(J2&gt;=QUARTILE(J$2:J$46,3),1,0),0)+IF(AND(ISNUMBER(K2),COUNT(K$2:K$46)&gt;=4),IF(K2&gt;=QUARTILE(K$2:K$46,3),1,0),0)+IF(AND(ISNUMBER(L2),COUNT(L$2:L$46)&gt;=4),IF(L2&gt;=QUARTILE(L$2:L$46,3),1,0),0)+IF(AND(ISNUMBER(M2),COUNT(M$2:M$46)&gt;=4),IF(M2&gt;=QUARTILE(M$2:M$46,3),1,0),0)+IF(AND(ISNUMBER(N2),COUNT(N$2:N$46)&gt;=4),IF(N2&gt;=QUARTILE(N$2:N$46,3),1,0),0)+IF(AND(ISNUMBER(O2),COUNT(O$2:O$46)&gt;=4),IF(O2&gt;=QUARTILE(O$2:O$46,3),1,0),0)+IF(AND(ISNUMBER(P2),COUNT(P$2:P$46)&gt;=4),IF(P2&gt;=QUARTILE(P$2:P$46,3),1,0),0)+IF(AND(ISNUMBER(Q2),COUNT(Q$2:Q$46)&gt;=4),IF(Q2&gt;=QUARTILE(Q$2:Q$46,3),1,0),0)+IF(AND(ISNUMBER(R2),COUNT(R$2:R$46)&gt;=4),IF(R2&gt;=QUARTILE(R$2:R$46,3),1,0),0)+IF(AND(ISNUMBER(S2),COUNT(S$2:S$46)&gt;=4),IF(S2&gt;=QUARTILE(S$2:S$46,3),1,0),0)+IF(AND(ISNUMBER(T2),COUNT(T$2:T$46)&gt;=4),IF(T2&gt;=QUARTILE(T$2:T$46,3),1,0),0)+IF(AND(ISNUMBER(U2),COUNT(U$2:U$46)&gt;=4),IF(U2&gt;=QUARTILE(U$2:U$46,3),1,0),0)+IF(AND(ISNUMBER(V2),COUNT(V$2:V$46)&gt;=4),IF(V2&gt;=QUARTILE(V$2:V$46,3),1,0),0)+IF(AND(ISNUMBER(W2),COUNT(W$2:W$46)&gt;=4),IF(W2&gt;=QUARTILE(W$2:W$46,3),1,0),0)</f>
        <v/>
      </c>
      <c r="Y2" s="3">
        <f>IF(AND(ISNUMBER(F2),COUNT(F$2:F$46)&gt;=4),IF(F2&lt;=QUARTILE(F$2:F$46,1),1,0),0)+IF(AND(ISNUMBER(G2),COUNT(G$2:G$46)&gt;=4),IF(G2&lt;=QUARTILE(G$2:G$46,1),1,0),0)+IF(AND(ISNUMBER(H2),COUNT(H$2:H$46)&gt;=4),IF(H2&lt;=QUARTILE(H$2:H$46,1),1,0),0)+IF(AND(ISNUMBER(I2),COUNT(I$2:I$46)&gt;=4),IF(I2&lt;=QUARTILE(I$2:I$46,1),1,0),0)+IF(AND(ISNUMBER(J2),COUNT(J$2:J$46)&gt;=4),IF(J2&lt;=QUARTILE(J$2:J$46,1),1,0),0)+IF(AND(ISNUMBER(K2),COUNT(K$2:K$46)&gt;=4),IF(K2&lt;=QUARTILE(K$2:K$46,1),1,0),0)+IF(AND(ISNUMBER(L2),COUNT(L$2:L$46)&gt;=4),IF(L2&lt;=QUARTILE(L$2:L$46,1),1,0),0)+IF(AND(ISNUMBER(M2),COUNT(M$2:M$46)&gt;=4),IF(M2&lt;=QUARTILE(M$2:M$46,1),1,0),0)+IF(AND(ISNUMBER(N2),COUNT(N$2:N$46)&gt;=4),IF(N2&lt;=QUARTILE(N$2:N$46,1),1,0),0)+IF(AND(ISNUMBER(O2),COUNT(O$2:O$46)&gt;=4),IF(O2&lt;=QUARTILE(O$2:O$46,1),1,0),0)+IF(AND(ISNUMBER(P2),COUNT(P$2:P$46)&gt;=4),IF(P2&lt;=QUARTILE(P$2:P$46,1),1,0),0)+IF(AND(ISNUMBER(Q2),COUNT(Q$2:Q$46)&gt;=4),IF(Q2&lt;=QUARTILE(Q$2:Q$46,1),1,0),0)+IF(AND(ISNUMBER(R2),COUNT(R$2:R$46)&gt;=4),IF(R2&lt;=QUARTILE(R$2:R$46,1),1,0),0)+IF(AND(ISNUMBER(S2),COUNT(S$2:S$46)&gt;=4),IF(S2&lt;=QUARTILE(S$2:S$46,1),1,0),0)+IF(AND(ISNUMBER(T2),COUNT(T$2:T$46)&gt;=4),IF(T2&lt;=QUARTILE(T$2:T$46,1),1,0),0)+IF(AND(ISNUMBER(U2),COUNT(U$2:U$46)&gt;=4),IF(U2&lt;=QUARTILE(U$2:U$46,1),1,0),0)+IF(AND(ISNUMBER(V2),COUNT(V$2:V$46)&gt;=4),IF(V2&lt;=QUARTILE(V$2:V$46,1),1,0),0)+IF(AND(ISNUMBER(W2),COUNT(W$2:W$46)&gt;=4),IF(W2&lt;=QUARTILE(W$2:W$46,1),1,0),0)</f>
        <v/>
      </c>
      <c r="Z2" s="3">
        <f>IF(Y2=0,X2,ROUND(X2/Y2,2))</f>
        <v/>
      </c>
      <c r="AA2" s="3">
        <f>IFERROR(IF(VLOOKUP(A2,'Raw Data 3Y'!A:AP,42,FALSE)="","none",VLOOKUP(A2,'Raw Data 3Y'!A:AP,42,FALSE)),"none")</f>
        <v/>
      </c>
      <c r="AB2" s="4" t="inlineStr">
        <is>
          <t>Source</t>
        </is>
      </c>
    </row>
    <row r="3">
      <c r="A3">
        <f>'Raw Data 3Y'!A39</f>
        <v/>
      </c>
      <c r="B3" s="3">
        <f>IFERROR((('Raw Data 3Y'!C39/'Raw Data 3Y'!B39)^(1/'Raw Data 3Y'!D39)-1)*100,"")</f>
        <v/>
      </c>
      <c r="C3" s="3">
        <f>'Raw Data 3Y'!E39</f>
        <v/>
      </c>
      <c r="D3" s="3">
        <f>INT('Raw Data 3Y'!D39)</f>
        <v/>
      </c>
      <c r="E3" s="3">
        <f>IFERROR(AVERAGE(F3:W3),"")</f>
        <v/>
      </c>
      <c r="F3" s="3">
        <f>IFERROR((('Raw Data 3Y'!G39/'Raw Data 3Y'!F39)^(1/3)-1)*100,"")</f>
        <v/>
      </c>
      <c r="G3" s="3">
        <f>IFERROR((('Raw Data 3Y'!I39/'Raw Data 3Y'!H39)^(1/3)-1)*100,"")</f>
        <v/>
      </c>
      <c r="H3" s="3">
        <f>IFERROR((('Raw Data 3Y'!K39/'Raw Data 3Y'!J39)^(1/3)-1)*100,"")</f>
        <v/>
      </c>
      <c r="I3" s="3">
        <f>IFERROR((('Raw Data 3Y'!M39/'Raw Data 3Y'!L39)^(1/3)-1)*100,"")</f>
        <v/>
      </c>
      <c r="J3" s="3">
        <f>IFERROR((('Raw Data 3Y'!O39/'Raw Data 3Y'!N39)^(1/3)-1)*100,"")</f>
        <v/>
      </c>
      <c r="K3" s="3">
        <f>IFERROR((('Raw Data 3Y'!Q39/'Raw Data 3Y'!P39)^(1/3)-1)*100,"")</f>
        <v/>
      </c>
      <c r="L3" s="3">
        <f>IFERROR((('Raw Data 3Y'!S39/'Raw Data 3Y'!R39)^(1/3)-1)*100,"")</f>
        <v/>
      </c>
      <c r="M3" s="3">
        <f>IFERROR((('Raw Data 3Y'!U39/'Raw Data 3Y'!T39)^(1/3)-1)*100,"")</f>
        <v/>
      </c>
      <c r="N3" s="3">
        <f>IFERROR((('Raw Data 3Y'!W39/'Raw Data 3Y'!V39)^(1/3)-1)*100,"")</f>
        <v/>
      </c>
      <c r="O3" s="3">
        <f>IFERROR((('Raw Data 3Y'!Y39/'Raw Data 3Y'!X39)^(1/3)-1)*100,"")</f>
        <v/>
      </c>
      <c r="P3" s="3">
        <f>IFERROR((('Raw Data 3Y'!AA39/'Raw Data 3Y'!Z39)^(1/3)-1)*100,"")</f>
        <v/>
      </c>
      <c r="Q3" s="3">
        <f>IFERROR((('Raw Data 3Y'!AC39/'Raw Data 3Y'!AB39)^(1/3)-1)*100,"")</f>
        <v/>
      </c>
      <c r="R3" s="3">
        <f>IFERROR((('Raw Data 3Y'!AE39/'Raw Data 3Y'!AD39)^(1/3)-1)*100,"")</f>
        <v/>
      </c>
      <c r="S3" s="3">
        <f>IFERROR((('Raw Data 3Y'!AG39/'Raw Data 3Y'!AF39)^(1/3)-1)*100,"")</f>
        <v/>
      </c>
      <c r="T3" s="3">
        <f>IFERROR((('Raw Data 3Y'!AI39/'Raw Data 3Y'!AH39)^(1/3)-1)*100,"")</f>
        <v/>
      </c>
      <c r="U3" s="3">
        <f>IFERROR((('Raw Data 3Y'!AK39/'Raw Data 3Y'!AJ39)^(1/3)-1)*100,"")</f>
        <v/>
      </c>
      <c r="V3" s="3">
        <f>IFERROR((('Raw Data 3Y'!AM39/'Raw Data 3Y'!AL39)^(1/3)-1)*100,"")</f>
        <v/>
      </c>
      <c r="W3" s="3">
        <f>IFERROR((('Raw Data 3Y'!AO39/'Raw Data 3Y'!AN39)^(1/3)-1)*100,"")</f>
        <v/>
      </c>
      <c r="X3" s="3">
        <f>IF(AND(ISNUMBER(F3),COUNT(F$2:F$46)&gt;=4),IF(F3&gt;=QUARTILE(F$2:F$46,3),1,0),0)+IF(AND(ISNUMBER(G3),COUNT(G$2:G$46)&gt;=4),IF(G3&gt;=QUARTILE(G$2:G$46,3),1,0),0)+IF(AND(ISNUMBER(H3),COUNT(H$2:H$46)&gt;=4),IF(H3&gt;=QUARTILE(H$2:H$46,3),1,0),0)+IF(AND(ISNUMBER(I3),COUNT(I$2:I$46)&gt;=4),IF(I3&gt;=QUARTILE(I$2:I$46,3),1,0),0)+IF(AND(ISNUMBER(J3),COUNT(J$2:J$46)&gt;=4),IF(J3&gt;=QUARTILE(J$2:J$46,3),1,0),0)+IF(AND(ISNUMBER(K3),COUNT(K$2:K$46)&gt;=4),IF(K3&gt;=QUARTILE(K$2:K$46,3),1,0),0)+IF(AND(ISNUMBER(L3),COUNT(L$2:L$46)&gt;=4),IF(L3&gt;=QUARTILE(L$2:L$46,3),1,0),0)+IF(AND(ISNUMBER(M3),COUNT(M$2:M$46)&gt;=4),IF(M3&gt;=QUARTILE(M$2:M$46,3),1,0),0)+IF(AND(ISNUMBER(N3),COUNT(N$2:N$46)&gt;=4),IF(N3&gt;=QUARTILE(N$2:N$46,3),1,0),0)+IF(AND(ISNUMBER(O3),COUNT(O$2:O$46)&gt;=4),IF(O3&gt;=QUARTILE(O$2:O$46,3),1,0),0)+IF(AND(ISNUMBER(P3),COUNT(P$2:P$46)&gt;=4),IF(P3&gt;=QUARTILE(P$2:P$46,3),1,0),0)+IF(AND(ISNUMBER(Q3),COUNT(Q$2:Q$46)&gt;=4),IF(Q3&gt;=QUARTILE(Q$2:Q$46,3),1,0),0)+IF(AND(ISNUMBER(R3),COUNT(R$2:R$46)&gt;=4),IF(R3&gt;=QUARTILE(R$2:R$46,3),1,0),0)+IF(AND(ISNUMBER(S3),COUNT(S$2:S$46)&gt;=4),IF(S3&gt;=QUARTILE(S$2:S$46,3),1,0),0)+IF(AND(ISNUMBER(T3),COUNT(T$2:T$46)&gt;=4),IF(T3&gt;=QUARTILE(T$2:T$46,3),1,0),0)+IF(AND(ISNUMBER(U3),COUNT(U$2:U$46)&gt;=4),IF(U3&gt;=QUARTILE(U$2:U$46,3),1,0),0)+IF(AND(ISNUMBER(V3),COUNT(V$2:V$46)&gt;=4),IF(V3&gt;=QUARTILE(V$2:V$46,3),1,0),0)+IF(AND(ISNUMBER(W3),COUNT(W$2:W$46)&gt;=4),IF(W3&gt;=QUARTILE(W$2:W$46,3),1,0),0)</f>
        <v/>
      </c>
      <c r="Y3" s="3">
        <f>IF(AND(ISNUMBER(F3),COUNT(F$2:F$46)&gt;=4),IF(F3&lt;=QUARTILE(F$2:F$46,1),1,0),0)+IF(AND(ISNUMBER(G3),COUNT(G$2:G$46)&gt;=4),IF(G3&lt;=QUARTILE(G$2:G$46,1),1,0),0)+IF(AND(ISNUMBER(H3),COUNT(H$2:H$46)&gt;=4),IF(H3&lt;=QUARTILE(H$2:H$46,1),1,0),0)+IF(AND(ISNUMBER(I3),COUNT(I$2:I$46)&gt;=4),IF(I3&lt;=QUARTILE(I$2:I$46,1),1,0),0)+IF(AND(ISNUMBER(J3),COUNT(J$2:J$46)&gt;=4),IF(J3&lt;=QUARTILE(J$2:J$46,1),1,0),0)+IF(AND(ISNUMBER(K3),COUNT(K$2:K$46)&gt;=4),IF(K3&lt;=QUARTILE(K$2:K$46,1),1,0),0)+IF(AND(ISNUMBER(L3),COUNT(L$2:L$46)&gt;=4),IF(L3&lt;=QUARTILE(L$2:L$46,1),1,0),0)+IF(AND(ISNUMBER(M3),COUNT(M$2:M$46)&gt;=4),IF(M3&lt;=QUARTILE(M$2:M$46,1),1,0),0)+IF(AND(ISNUMBER(N3),COUNT(N$2:N$46)&gt;=4),IF(N3&lt;=QUARTILE(N$2:N$46,1),1,0),0)+IF(AND(ISNUMBER(O3),COUNT(O$2:O$46)&gt;=4),IF(O3&lt;=QUARTILE(O$2:O$46,1),1,0),0)+IF(AND(ISNUMBER(P3),COUNT(P$2:P$46)&gt;=4),IF(P3&lt;=QUARTILE(P$2:P$46,1),1,0),0)+IF(AND(ISNUMBER(Q3),COUNT(Q$2:Q$46)&gt;=4),IF(Q3&lt;=QUARTILE(Q$2:Q$46,1),1,0),0)+IF(AND(ISNUMBER(R3),COUNT(R$2:R$46)&gt;=4),IF(R3&lt;=QUARTILE(R$2:R$46,1),1,0),0)+IF(AND(ISNUMBER(S3),COUNT(S$2:S$46)&gt;=4),IF(S3&lt;=QUARTILE(S$2:S$46,1),1,0),0)+IF(AND(ISNUMBER(T3),COUNT(T$2:T$46)&gt;=4),IF(T3&lt;=QUARTILE(T$2:T$46,1),1,0),0)+IF(AND(ISNUMBER(U3),COUNT(U$2:U$46)&gt;=4),IF(U3&lt;=QUARTILE(U$2:U$46,1),1,0),0)+IF(AND(ISNUMBER(V3),COUNT(V$2:V$46)&gt;=4),IF(V3&lt;=QUARTILE(V$2:V$46,1),1,0),0)+IF(AND(ISNUMBER(W3),COUNT(W$2:W$46)&gt;=4),IF(W3&lt;=QUARTILE(W$2:W$46,1),1,0),0)</f>
        <v/>
      </c>
      <c r="Z3" s="3">
        <f>IF(Y3=0,X3,ROUND(X3/Y3,2))</f>
        <v/>
      </c>
      <c r="AA3" s="3">
        <f>IFERROR(IF(VLOOKUP(A3,'Raw Data 3Y'!A:AP,42,FALSE)="","none",VLOOKUP(A3,'Raw Data 3Y'!A:AP,42,FALSE)),"none")</f>
        <v/>
      </c>
      <c r="AB3" s="4" t="inlineStr">
        <is>
          <t>Source</t>
        </is>
      </c>
    </row>
    <row r="4">
      <c r="A4">
        <f>'Raw Data 3Y'!A21</f>
        <v/>
      </c>
      <c r="B4" s="3">
        <f>IFERROR((('Raw Data 3Y'!C21/'Raw Data 3Y'!B21)^(1/'Raw Data 3Y'!D21)-1)*100,"")</f>
        <v/>
      </c>
      <c r="C4" s="3">
        <f>'Raw Data 3Y'!E21</f>
        <v/>
      </c>
      <c r="D4" s="3">
        <f>INT('Raw Data 3Y'!D21)</f>
        <v/>
      </c>
      <c r="E4" s="3">
        <f>IFERROR(AVERAGE(F4:W4),"")</f>
        <v/>
      </c>
      <c r="F4" s="3">
        <f>IFERROR((('Raw Data 3Y'!G21/'Raw Data 3Y'!F21)^(1/3)-1)*100,"")</f>
        <v/>
      </c>
      <c r="G4" s="3">
        <f>IFERROR((('Raw Data 3Y'!I21/'Raw Data 3Y'!H21)^(1/3)-1)*100,"")</f>
        <v/>
      </c>
      <c r="H4" s="3">
        <f>IFERROR((('Raw Data 3Y'!K21/'Raw Data 3Y'!J21)^(1/3)-1)*100,"")</f>
        <v/>
      </c>
      <c r="I4" s="3">
        <f>IFERROR((('Raw Data 3Y'!M21/'Raw Data 3Y'!L21)^(1/3)-1)*100,"")</f>
        <v/>
      </c>
      <c r="J4" s="3">
        <f>IFERROR((('Raw Data 3Y'!O21/'Raw Data 3Y'!N21)^(1/3)-1)*100,"")</f>
        <v/>
      </c>
      <c r="K4" s="3">
        <f>IFERROR((('Raw Data 3Y'!Q21/'Raw Data 3Y'!P21)^(1/3)-1)*100,"")</f>
        <v/>
      </c>
      <c r="L4" s="3">
        <f>IFERROR((('Raw Data 3Y'!S21/'Raw Data 3Y'!R21)^(1/3)-1)*100,"")</f>
        <v/>
      </c>
      <c r="M4" s="3">
        <f>IFERROR((('Raw Data 3Y'!U21/'Raw Data 3Y'!T21)^(1/3)-1)*100,"")</f>
        <v/>
      </c>
      <c r="N4" s="3">
        <f>IFERROR((('Raw Data 3Y'!W21/'Raw Data 3Y'!V21)^(1/3)-1)*100,"")</f>
        <v/>
      </c>
      <c r="O4" s="3">
        <f>IFERROR((('Raw Data 3Y'!Y21/'Raw Data 3Y'!X21)^(1/3)-1)*100,"")</f>
        <v/>
      </c>
      <c r="P4" s="3">
        <f>IFERROR((('Raw Data 3Y'!AA21/'Raw Data 3Y'!Z21)^(1/3)-1)*100,"")</f>
        <v/>
      </c>
      <c r="Q4" s="3">
        <f>IFERROR((('Raw Data 3Y'!AC21/'Raw Data 3Y'!AB21)^(1/3)-1)*100,"")</f>
        <v/>
      </c>
      <c r="R4" s="3">
        <f>IFERROR((('Raw Data 3Y'!AE21/'Raw Data 3Y'!AD21)^(1/3)-1)*100,"")</f>
        <v/>
      </c>
      <c r="S4" s="3">
        <f>IFERROR((('Raw Data 3Y'!AG21/'Raw Data 3Y'!AF21)^(1/3)-1)*100,"")</f>
        <v/>
      </c>
      <c r="T4" s="3">
        <f>IFERROR((('Raw Data 3Y'!AI21/'Raw Data 3Y'!AH21)^(1/3)-1)*100,"")</f>
        <v/>
      </c>
      <c r="U4" s="3">
        <f>IFERROR((('Raw Data 3Y'!AK21/'Raw Data 3Y'!AJ21)^(1/3)-1)*100,"")</f>
        <v/>
      </c>
      <c r="V4" s="3">
        <f>IFERROR((('Raw Data 3Y'!AM21/'Raw Data 3Y'!AL21)^(1/3)-1)*100,"")</f>
        <v/>
      </c>
      <c r="W4" s="3">
        <f>IFERROR((('Raw Data 3Y'!AO21/'Raw Data 3Y'!AN21)^(1/3)-1)*100,"")</f>
        <v/>
      </c>
      <c r="X4" s="3">
        <f>IF(AND(ISNUMBER(F4),COUNT(F$2:F$46)&gt;=4),IF(F4&gt;=QUARTILE(F$2:F$46,3),1,0),0)+IF(AND(ISNUMBER(G4),COUNT(G$2:G$46)&gt;=4),IF(G4&gt;=QUARTILE(G$2:G$46,3),1,0),0)+IF(AND(ISNUMBER(H4),COUNT(H$2:H$46)&gt;=4),IF(H4&gt;=QUARTILE(H$2:H$46,3),1,0),0)+IF(AND(ISNUMBER(I4),COUNT(I$2:I$46)&gt;=4),IF(I4&gt;=QUARTILE(I$2:I$46,3),1,0),0)+IF(AND(ISNUMBER(J4),COUNT(J$2:J$46)&gt;=4),IF(J4&gt;=QUARTILE(J$2:J$46,3),1,0),0)+IF(AND(ISNUMBER(K4),COUNT(K$2:K$46)&gt;=4),IF(K4&gt;=QUARTILE(K$2:K$46,3),1,0),0)+IF(AND(ISNUMBER(L4),COUNT(L$2:L$46)&gt;=4),IF(L4&gt;=QUARTILE(L$2:L$46,3),1,0),0)+IF(AND(ISNUMBER(M4),COUNT(M$2:M$46)&gt;=4),IF(M4&gt;=QUARTILE(M$2:M$46,3),1,0),0)+IF(AND(ISNUMBER(N4),COUNT(N$2:N$46)&gt;=4),IF(N4&gt;=QUARTILE(N$2:N$46,3),1,0),0)+IF(AND(ISNUMBER(O4),COUNT(O$2:O$46)&gt;=4),IF(O4&gt;=QUARTILE(O$2:O$46,3),1,0),0)+IF(AND(ISNUMBER(P4),COUNT(P$2:P$46)&gt;=4),IF(P4&gt;=QUARTILE(P$2:P$46,3),1,0),0)+IF(AND(ISNUMBER(Q4),COUNT(Q$2:Q$46)&gt;=4),IF(Q4&gt;=QUARTILE(Q$2:Q$46,3),1,0),0)+IF(AND(ISNUMBER(R4),COUNT(R$2:R$46)&gt;=4),IF(R4&gt;=QUARTILE(R$2:R$46,3),1,0),0)+IF(AND(ISNUMBER(S4),COUNT(S$2:S$46)&gt;=4),IF(S4&gt;=QUARTILE(S$2:S$46,3),1,0),0)+IF(AND(ISNUMBER(T4),COUNT(T$2:T$46)&gt;=4),IF(T4&gt;=QUARTILE(T$2:T$46,3),1,0),0)+IF(AND(ISNUMBER(U4),COUNT(U$2:U$46)&gt;=4),IF(U4&gt;=QUARTILE(U$2:U$46,3),1,0),0)+IF(AND(ISNUMBER(V4),COUNT(V$2:V$46)&gt;=4),IF(V4&gt;=QUARTILE(V$2:V$46,3),1,0),0)+IF(AND(ISNUMBER(W4),COUNT(W$2:W$46)&gt;=4),IF(W4&gt;=QUARTILE(W$2:W$46,3),1,0),0)</f>
        <v/>
      </c>
      <c r="Y4" s="3">
        <f>IF(AND(ISNUMBER(F4),COUNT(F$2:F$46)&gt;=4),IF(F4&lt;=QUARTILE(F$2:F$46,1),1,0),0)+IF(AND(ISNUMBER(G4),COUNT(G$2:G$46)&gt;=4),IF(G4&lt;=QUARTILE(G$2:G$46,1),1,0),0)+IF(AND(ISNUMBER(H4),COUNT(H$2:H$46)&gt;=4),IF(H4&lt;=QUARTILE(H$2:H$46,1),1,0),0)+IF(AND(ISNUMBER(I4),COUNT(I$2:I$46)&gt;=4),IF(I4&lt;=QUARTILE(I$2:I$46,1),1,0),0)+IF(AND(ISNUMBER(J4),COUNT(J$2:J$46)&gt;=4),IF(J4&lt;=QUARTILE(J$2:J$46,1),1,0),0)+IF(AND(ISNUMBER(K4),COUNT(K$2:K$46)&gt;=4),IF(K4&lt;=QUARTILE(K$2:K$46,1),1,0),0)+IF(AND(ISNUMBER(L4),COUNT(L$2:L$46)&gt;=4),IF(L4&lt;=QUARTILE(L$2:L$46,1),1,0),0)+IF(AND(ISNUMBER(M4),COUNT(M$2:M$46)&gt;=4),IF(M4&lt;=QUARTILE(M$2:M$46,1),1,0),0)+IF(AND(ISNUMBER(N4),COUNT(N$2:N$46)&gt;=4),IF(N4&lt;=QUARTILE(N$2:N$46,1),1,0),0)+IF(AND(ISNUMBER(O4),COUNT(O$2:O$46)&gt;=4),IF(O4&lt;=QUARTILE(O$2:O$46,1),1,0),0)+IF(AND(ISNUMBER(P4),COUNT(P$2:P$46)&gt;=4),IF(P4&lt;=QUARTILE(P$2:P$46,1),1,0),0)+IF(AND(ISNUMBER(Q4),COUNT(Q$2:Q$46)&gt;=4),IF(Q4&lt;=QUARTILE(Q$2:Q$46,1),1,0),0)+IF(AND(ISNUMBER(R4),COUNT(R$2:R$46)&gt;=4),IF(R4&lt;=QUARTILE(R$2:R$46,1),1,0),0)+IF(AND(ISNUMBER(S4),COUNT(S$2:S$46)&gt;=4),IF(S4&lt;=QUARTILE(S$2:S$46,1),1,0),0)+IF(AND(ISNUMBER(T4),COUNT(T$2:T$46)&gt;=4),IF(T4&lt;=QUARTILE(T$2:T$46,1),1,0),0)+IF(AND(ISNUMBER(U4),COUNT(U$2:U$46)&gt;=4),IF(U4&lt;=QUARTILE(U$2:U$46,1),1,0),0)+IF(AND(ISNUMBER(V4),COUNT(V$2:V$46)&gt;=4),IF(V4&lt;=QUARTILE(V$2:V$46,1),1,0),0)+IF(AND(ISNUMBER(W4),COUNT(W$2:W$46)&gt;=4),IF(W4&lt;=QUARTILE(W$2:W$46,1),1,0),0)</f>
        <v/>
      </c>
      <c r="Z4" s="3">
        <f>IF(Y4=0,X4,ROUND(X4/Y4,2))</f>
        <v/>
      </c>
      <c r="AA4" s="3">
        <f>IFERROR(IF(VLOOKUP(A4,'Raw Data 3Y'!A:AP,42,FALSE)="","none",VLOOKUP(A4,'Raw Data 3Y'!A:AP,42,FALSE)),"none")</f>
        <v/>
      </c>
      <c r="AB4" s="4" t="inlineStr">
        <is>
          <t>Source</t>
        </is>
      </c>
    </row>
    <row r="5">
      <c r="A5">
        <f>'Raw Data 3Y'!A23</f>
        <v/>
      </c>
      <c r="B5" s="3">
        <f>IFERROR((('Raw Data 3Y'!C23/'Raw Data 3Y'!B23)^(1/'Raw Data 3Y'!D23)-1)*100,"")</f>
        <v/>
      </c>
      <c r="C5" s="3">
        <f>'Raw Data 3Y'!E23</f>
        <v/>
      </c>
      <c r="D5" s="3">
        <f>INT('Raw Data 3Y'!D23)</f>
        <v/>
      </c>
      <c r="E5" s="3">
        <f>IFERROR(AVERAGE(F5:W5),"")</f>
        <v/>
      </c>
      <c r="F5" s="3">
        <f>IFERROR((('Raw Data 3Y'!G23/'Raw Data 3Y'!F23)^(1/3)-1)*100,"")</f>
        <v/>
      </c>
      <c r="G5" s="3">
        <f>IFERROR((('Raw Data 3Y'!I23/'Raw Data 3Y'!H23)^(1/3)-1)*100,"")</f>
        <v/>
      </c>
      <c r="H5" s="3">
        <f>IFERROR((('Raw Data 3Y'!K23/'Raw Data 3Y'!J23)^(1/3)-1)*100,"")</f>
        <v/>
      </c>
      <c r="I5" s="3">
        <f>IFERROR((('Raw Data 3Y'!M23/'Raw Data 3Y'!L23)^(1/3)-1)*100,"")</f>
        <v/>
      </c>
      <c r="J5" s="3">
        <f>IFERROR((('Raw Data 3Y'!O23/'Raw Data 3Y'!N23)^(1/3)-1)*100,"")</f>
        <v/>
      </c>
      <c r="K5" s="3">
        <f>IFERROR((('Raw Data 3Y'!Q23/'Raw Data 3Y'!P23)^(1/3)-1)*100,"")</f>
        <v/>
      </c>
      <c r="L5" s="3">
        <f>IFERROR((('Raw Data 3Y'!S23/'Raw Data 3Y'!R23)^(1/3)-1)*100,"")</f>
        <v/>
      </c>
      <c r="M5" s="3">
        <f>IFERROR((('Raw Data 3Y'!U23/'Raw Data 3Y'!T23)^(1/3)-1)*100,"")</f>
        <v/>
      </c>
      <c r="N5" s="3">
        <f>IFERROR((('Raw Data 3Y'!W23/'Raw Data 3Y'!V23)^(1/3)-1)*100,"")</f>
        <v/>
      </c>
      <c r="O5" s="3">
        <f>IFERROR((('Raw Data 3Y'!Y23/'Raw Data 3Y'!X23)^(1/3)-1)*100,"")</f>
        <v/>
      </c>
      <c r="P5" s="3">
        <f>IFERROR((('Raw Data 3Y'!AA23/'Raw Data 3Y'!Z23)^(1/3)-1)*100,"")</f>
        <v/>
      </c>
      <c r="Q5" s="3">
        <f>IFERROR((('Raw Data 3Y'!AC23/'Raw Data 3Y'!AB23)^(1/3)-1)*100,"")</f>
        <v/>
      </c>
      <c r="R5" s="3">
        <f>IFERROR((('Raw Data 3Y'!AE23/'Raw Data 3Y'!AD23)^(1/3)-1)*100,"")</f>
        <v/>
      </c>
      <c r="S5" s="3">
        <f>IFERROR((('Raw Data 3Y'!AG23/'Raw Data 3Y'!AF23)^(1/3)-1)*100,"")</f>
        <v/>
      </c>
      <c r="T5" s="3">
        <f>IFERROR((('Raw Data 3Y'!AI23/'Raw Data 3Y'!AH23)^(1/3)-1)*100,"")</f>
        <v/>
      </c>
      <c r="U5" s="3">
        <f>IFERROR((('Raw Data 3Y'!AK23/'Raw Data 3Y'!AJ23)^(1/3)-1)*100,"")</f>
        <v/>
      </c>
      <c r="V5" s="3">
        <f>IFERROR((('Raw Data 3Y'!AM23/'Raw Data 3Y'!AL23)^(1/3)-1)*100,"")</f>
        <v/>
      </c>
      <c r="W5" s="3">
        <f>IFERROR((('Raw Data 3Y'!AO23/'Raw Data 3Y'!AN23)^(1/3)-1)*100,"")</f>
        <v/>
      </c>
      <c r="X5" s="3">
        <f>IF(AND(ISNUMBER(F5),COUNT(F$2:F$46)&gt;=4),IF(F5&gt;=QUARTILE(F$2:F$46,3),1,0),0)+IF(AND(ISNUMBER(G5),COUNT(G$2:G$46)&gt;=4),IF(G5&gt;=QUARTILE(G$2:G$46,3),1,0),0)+IF(AND(ISNUMBER(H5),COUNT(H$2:H$46)&gt;=4),IF(H5&gt;=QUARTILE(H$2:H$46,3),1,0),0)+IF(AND(ISNUMBER(I5),COUNT(I$2:I$46)&gt;=4),IF(I5&gt;=QUARTILE(I$2:I$46,3),1,0),0)+IF(AND(ISNUMBER(J5),COUNT(J$2:J$46)&gt;=4),IF(J5&gt;=QUARTILE(J$2:J$46,3),1,0),0)+IF(AND(ISNUMBER(K5),COUNT(K$2:K$46)&gt;=4),IF(K5&gt;=QUARTILE(K$2:K$46,3),1,0),0)+IF(AND(ISNUMBER(L5),COUNT(L$2:L$46)&gt;=4),IF(L5&gt;=QUARTILE(L$2:L$46,3),1,0),0)+IF(AND(ISNUMBER(M5),COUNT(M$2:M$46)&gt;=4),IF(M5&gt;=QUARTILE(M$2:M$46,3),1,0),0)+IF(AND(ISNUMBER(N5),COUNT(N$2:N$46)&gt;=4),IF(N5&gt;=QUARTILE(N$2:N$46,3),1,0),0)+IF(AND(ISNUMBER(O5),COUNT(O$2:O$46)&gt;=4),IF(O5&gt;=QUARTILE(O$2:O$46,3),1,0),0)+IF(AND(ISNUMBER(P5),COUNT(P$2:P$46)&gt;=4),IF(P5&gt;=QUARTILE(P$2:P$46,3),1,0),0)+IF(AND(ISNUMBER(Q5),COUNT(Q$2:Q$46)&gt;=4),IF(Q5&gt;=QUARTILE(Q$2:Q$46,3),1,0),0)+IF(AND(ISNUMBER(R5),COUNT(R$2:R$46)&gt;=4),IF(R5&gt;=QUARTILE(R$2:R$46,3),1,0),0)+IF(AND(ISNUMBER(S5),COUNT(S$2:S$46)&gt;=4),IF(S5&gt;=QUARTILE(S$2:S$46,3),1,0),0)+IF(AND(ISNUMBER(T5),COUNT(T$2:T$46)&gt;=4),IF(T5&gt;=QUARTILE(T$2:T$46,3),1,0),0)+IF(AND(ISNUMBER(U5),COUNT(U$2:U$46)&gt;=4),IF(U5&gt;=QUARTILE(U$2:U$46,3),1,0),0)+IF(AND(ISNUMBER(V5),COUNT(V$2:V$46)&gt;=4),IF(V5&gt;=QUARTILE(V$2:V$46,3),1,0),0)+IF(AND(ISNUMBER(W5),COUNT(W$2:W$46)&gt;=4),IF(W5&gt;=QUARTILE(W$2:W$46,3),1,0),0)</f>
        <v/>
      </c>
      <c r="Y5" s="3">
        <f>IF(AND(ISNUMBER(F5),COUNT(F$2:F$46)&gt;=4),IF(F5&lt;=QUARTILE(F$2:F$46,1),1,0),0)+IF(AND(ISNUMBER(G5),COUNT(G$2:G$46)&gt;=4),IF(G5&lt;=QUARTILE(G$2:G$46,1),1,0),0)+IF(AND(ISNUMBER(H5),COUNT(H$2:H$46)&gt;=4),IF(H5&lt;=QUARTILE(H$2:H$46,1),1,0),0)+IF(AND(ISNUMBER(I5),COUNT(I$2:I$46)&gt;=4),IF(I5&lt;=QUARTILE(I$2:I$46,1),1,0),0)+IF(AND(ISNUMBER(J5),COUNT(J$2:J$46)&gt;=4),IF(J5&lt;=QUARTILE(J$2:J$46,1),1,0),0)+IF(AND(ISNUMBER(K5),COUNT(K$2:K$46)&gt;=4),IF(K5&lt;=QUARTILE(K$2:K$46,1),1,0),0)+IF(AND(ISNUMBER(L5),COUNT(L$2:L$46)&gt;=4),IF(L5&lt;=QUARTILE(L$2:L$46,1),1,0),0)+IF(AND(ISNUMBER(M5),COUNT(M$2:M$46)&gt;=4),IF(M5&lt;=QUARTILE(M$2:M$46,1),1,0),0)+IF(AND(ISNUMBER(N5),COUNT(N$2:N$46)&gt;=4),IF(N5&lt;=QUARTILE(N$2:N$46,1),1,0),0)+IF(AND(ISNUMBER(O5),COUNT(O$2:O$46)&gt;=4),IF(O5&lt;=QUARTILE(O$2:O$46,1),1,0),0)+IF(AND(ISNUMBER(P5),COUNT(P$2:P$46)&gt;=4),IF(P5&lt;=QUARTILE(P$2:P$46,1),1,0),0)+IF(AND(ISNUMBER(Q5),COUNT(Q$2:Q$46)&gt;=4),IF(Q5&lt;=QUARTILE(Q$2:Q$46,1),1,0),0)+IF(AND(ISNUMBER(R5),COUNT(R$2:R$46)&gt;=4),IF(R5&lt;=QUARTILE(R$2:R$46,1),1,0),0)+IF(AND(ISNUMBER(S5),COUNT(S$2:S$46)&gt;=4),IF(S5&lt;=QUARTILE(S$2:S$46,1),1,0),0)+IF(AND(ISNUMBER(T5),COUNT(T$2:T$46)&gt;=4),IF(T5&lt;=QUARTILE(T$2:T$46,1),1,0),0)+IF(AND(ISNUMBER(U5),COUNT(U$2:U$46)&gt;=4),IF(U5&lt;=QUARTILE(U$2:U$46,1),1,0),0)+IF(AND(ISNUMBER(V5),COUNT(V$2:V$46)&gt;=4),IF(V5&lt;=QUARTILE(V$2:V$46,1),1,0),0)+IF(AND(ISNUMBER(W5),COUNT(W$2:W$46)&gt;=4),IF(W5&lt;=QUARTILE(W$2:W$46,1),1,0),0)</f>
        <v/>
      </c>
      <c r="Z5" s="3">
        <f>IF(Y5=0,X5,ROUND(X5/Y5,2))</f>
        <v/>
      </c>
      <c r="AA5" s="3">
        <f>IFERROR(IF(VLOOKUP(A5,'Raw Data 3Y'!A:AP,42,FALSE)="","none",VLOOKUP(A5,'Raw Data 3Y'!A:AP,42,FALSE)),"none")</f>
        <v/>
      </c>
      <c r="AB5" s="4" t="inlineStr">
        <is>
          <t>Source</t>
        </is>
      </c>
    </row>
    <row r="6">
      <c r="A6">
        <f>'Raw Data 3Y'!A16</f>
        <v/>
      </c>
      <c r="B6" s="3">
        <f>IFERROR((('Raw Data 3Y'!C16/'Raw Data 3Y'!B16)^(1/'Raw Data 3Y'!D16)-1)*100,"")</f>
        <v/>
      </c>
      <c r="C6" s="3">
        <f>'Raw Data 3Y'!E16</f>
        <v/>
      </c>
      <c r="D6" s="3">
        <f>INT('Raw Data 3Y'!D16)</f>
        <v/>
      </c>
      <c r="E6" s="3">
        <f>IFERROR(AVERAGE(F6:W6),"")</f>
        <v/>
      </c>
      <c r="F6" s="3">
        <f>IFERROR((('Raw Data 3Y'!G16/'Raw Data 3Y'!F16)^(1/3)-1)*100,"")</f>
        <v/>
      </c>
      <c r="G6" s="3">
        <f>IFERROR((('Raw Data 3Y'!I16/'Raw Data 3Y'!H16)^(1/3)-1)*100,"")</f>
        <v/>
      </c>
      <c r="H6" s="3">
        <f>IFERROR((('Raw Data 3Y'!K16/'Raw Data 3Y'!J16)^(1/3)-1)*100,"")</f>
        <v/>
      </c>
      <c r="I6" s="3">
        <f>IFERROR((('Raw Data 3Y'!M16/'Raw Data 3Y'!L16)^(1/3)-1)*100,"")</f>
        <v/>
      </c>
      <c r="J6" s="3">
        <f>IFERROR((('Raw Data 3Y'!O16/'Raw Data 3Y'!N16)^(1/3)-1)*100,"")</f>
        <v/>
      </c>
      <c r="K6" s="3">
        <f>IFERROR((('Raw Data 3Y'!Q16/'Raw Data 3Y'!P16)^(1/3)-1)*100,"")</f>
        <v/>
      </c>
      <c r="L6" s="3">
        <f>IFERROR((('Raw Data 3Y'!S16/'Raw Data 3Y'!R16)^(1/3)-1)*100,"")</f>
        <v/>
      </c>
      <c r="M6" s="3">
        <f>IFERROR((('Raw Data 3Y'!U16/'Raw Data 3Y'!T16)^(1/3)-1)*100,"")</f>
        <v/>
      </c>
      <c r="N6" s="3">
        <f>IFERROR((('Raw Data 3Y'!W16/'Raw Data 3Y'!V16)^(1/3)-1)*100,"")</f>
        <v/>
      </c>
      <c r="O6" s="3">
        <f>IFERROR((('Raw Data 3Y'!Y16/'Raw Data 3Y'!X16)^(1/3)-1)*100,"")</f>
        <v/>
      </c>
      <c r="P6" s="3">
        <f>IFERROR((('Raw Data 3Y'!AA16/'Raw Data 3Y'!Z16)^(1/3)-1)*100,"")</f>
        <v/>
      </c>
      <c r="Q6" s="3">
        <f>IFERROR((('Raw Data 3Y'!AC16/'Raw Data 3Y'!AB16)^(1/3)-1)*100,"")</f>
        <v/>
      </c>
      <c r="R6" s="3">
        <f>IFERROR((('Raw Data 3Y'!AE16/'Raw Data 3Y'!AD16)^(1/3)-1)*100,"")</f>
        <v/>
      </c>
      <c r="S6" s="3">
        <f>IFERROR((('Raw Data 3Y'!AG16/'Raw Data 3Y'!AF16)^(1/3)-1)*100,"")</f>
        <v/>
      </c>
      <c r="T6" s="3">
        <f>IFERROR((('Raw Data 3Y'!AI16/'Raw Data 3Y'!AH16)^(1/3)-1)*100,"")</f>
        <v/>
      </c>
      <c r="U6" s="3">
        <f>IFERROR((('Raw Data 3Y'!AK16/'Raw Data 3Y'!AJ16)^(1/3)-1)*100,"")</f>
        <v/>
      </c>
      <c r="V6" s="3">
        <f>IFERROR((('Raw Data 3Y'!AM16/'Raw Data 3Y'!AL16)^(1/3)-1)*100,"")</f>
        <v/>
      </c>
      <c r="W6" s="3">
        <f>IFERROR((('Raw Data 3Y'!AO16/'Raw Data 3Y'!AN16)^(1/3)-1)*100,"")</f>
        <v/>
      </c>
      <c r="X6" s="3">
        <f>IF(AND(ISNUMBER(F6),COUNT(F$2:F$46)&gt;=4),IF(F6&gt;=QUARTILE(F$2:F$46,3),1,0),0)+IF(AND(ISNUMBER(G6),COUNT(G$2:G$46)&gt;=4),IF(G6&gt;=QUARTILE(G$2:G$46,3),1,0),0)+IF(AND(ISNUMBER(H6),COUNT(H$2:H$46)&gt;=4),IF(H6&gt;=QUARTILE(H$2:H$46,3),1,0),0)+IF(AND(ISNUMBER(I6),COUNT(I$2:I$46)&gt;=4),IF(I6&gt;=QUARTILE(I$2:I$46,3),1,0),0)+IF(AND(ISNUMBER(J6),COUNT(J$2:J$46)&gt;=4),IF(J6&gt;=QUARTILE(J$2:J$46,3),1,0),0)+IF(AND(ISNUMBER(K6),COUNT(K$2:K$46)&gt;=4),IF(K6&gt;=QUARTILE(K$2:K$46,3),1,0),0)+IF(AND(ISNUMBER(L6),COUNT(L$2:L$46)&gt;=4),IF(L6&gt;=QUARTILE(L$2:L$46,3),1,0),0)+IF(AND(ISNUMBER(M6),COUNT(M$2:M$46)&gt;=4),IF(M6&gt;=QUARTILE(M$2:M$46,3),1,0),0)+IF(AND(ISNUMBER(N6),COUNT(N$2:N$46)&gt;=4),IF(N6&gt;=QUARTILE(N$2:N$46,3),1,0),0)+IF(AND(ISNUMBER(O6),COUNT(O$2:O$46)&gt;=4),IF(O6&gt;=QUARTILE(O$2:O$46,3),1,0),0)+IF(AND(ISNUMBER(P6),COUNT(P$2:P$46)&gt;=4),IF(P6&gt;=QUARTILE(P$2:P$46,3),1,0),0)+IF(AND(ISNUMBER(Q6),COUNT(Q$2:Q$46)&gt;=4),IF(Q6&gt;=QUARTILE(Q$2:Q$46,3),1,0),0)+IF(AND(ISNUMBER(R6),COUNT(R$2:R$46)&gt;=4),IF(R6&gt;=QUARTILE(R$2:R$46,3),1,0),0)+IF(AND(ISNUMBER(S6),COUNT(S$2:S$46)&gt;=4),IF(S6&gt;=QUARTILE(S$2:S$46,3),1,0),0)+IF(AND(ISNUMBER(T6),COUNT(T$2:T$46)&gt;=4),IF(T6&gt;=QUARTILE(T$2:T$46,3),1,0),0)+IF(AND(ISNUMBER(U6),COUNT(U$2:U$46)&gt;=4),IF(U6&gt;=QUARTILE(U$2:U$46,3),1,0),0)+IF(AND(ISNUMBER(V6),COUNT(V$2:V$46)&gt;=4),IF(V6&gt;=QUARTILE(V$2:V$46,3),1,0),0)+IF(AND(ISNUMBER(W6),COUNT(W$2:W$46)&gt;=4),IF(W6&gt;=QUARTILE(W$2:W$46,3),1,0),0)</f>
        <v/>
      </c>
      <c r="Y6" s="3">
        <f>IF(AND(ISNUMBER(F6),COUNT(F$2:F$46)&gt;=4),IF(F6&lt;=QUARTILE(F$2:F$46,1),1,0),0)+IF(AND(ISNUMBER(G6),COUNT(G$2:G$46)&gt;=4),IF(G6&lt;=QUARTILE(G$2:G$46,1),1,0),0)+IF(AND(ISNUMBER(H6),COUNT(H$2:H$46)&gt;=4),IF(H6&lt;=QUARTILE(H$2:H$46,1),1,0),0)+IF(AND(ISNUMBER(I6),COUNT(I$2:I$46)&gt;=4),IF(I6&lt;=QUARTILE(I$2:I$46,1),1,0),0)+IF(AND(ISNUMBER(J6),COUNT(J$2:J$46)&gt;=4),IF(J6&lt;=QUARTILE(J$2:J$46,1),1,0),0)+IF(AND(ISNUMBER(K6),COUNT(K$2:K$46)&gt;=4),IF(K6&lt;=QUARTILE(K$2:K$46,1),1,0),0)+IF(AND(ISNUMBER(L6),COUNT(L$2:L$46)&gt;=4),IF(L6&lt;=QUARTILE(L$2:L$46,1),1,0),0)+IF(AND(ISNUMBER(M6),COUNT(M$2:M$46)&gt;=4),IF(M6&lt;=QUARTILE(M$2:M$46,1),1,0),0)+IF(AND(ISNUMBER(N6),COUNT(N$2:N$46)&gt;=4),IF(N6&lt;=QUARTILE(N$2:N$46,1),1,0),0)+IF(AND(ISNUMBER(O6),COUNT(O$2:O$46)&gt;=4),IF(O6&lt;=QUARTILE(O$2:O$46,1),1,0),0)+IF(AND(ISNUMBER(P6),COUNT(P$2:P$46)&gt;=4),IF(P6&lt;=QUARTILE(P$2:P$46,1),1,0),0)+IF(AND(ISNUMBER(Q6),COUNT(Q$2:Q$46)&gt;=4),IF(Q6&lt;=QUARTILE(Q$2:Q$46,1),1,0),0)+IF(AND(ISNUMBER(R6),COUNT(R$2:R$46)&gt;=4),IF(R6&lt;=QUARTILE(R$2:R$46,1),1,0),0)+IF(AND(ISNUMBER(S6),COUNT(S$2:S$46)&gt;=4),IF(S6&lt;=QUARTILE(S$2:S$46,1),1,0),0)+IF(AND(ISNUMBER(T6),COUNT(T$2:T$46)&gt;=4),IF(T6&lt;=QUARTILE(T$2:T$46,1),1,0),0)+IF(AND(ISNUMBER(U6),COUNT(U$2:U$46)&gt;=4),IF(U6&lt;=QUARTILE(U$2:U$46,1),1,0),0)+IF(AND(ISNUMBER(V6),COUNT(V$2:V$46)&gt;=4),IF(V6&lt;=QUARTILE(V$2:V$46,1),1,0),0)+IF(AND(ISNUMBER(W6),COUNT(W$2:W$46)&gt;=4),IF(W6&lt;=QUARTILE(W$2:W$46,1),1,0),0)</f>
        <v/>
      </c>
      <c r="Z6" s="3">
        <f>IF(Y6=0,X6,ROUND(X6/Y6,2))</f>
        <v/>
      </c>
      <c r="AA6" s="3">
        <f>IFERROR(IF(VLOOKUP(A6,'Raw Data 3Y'!A:AP,42,FALSE)="","none",VLOOKUP(A6,'Raw Data 3Y'!A:AP,42,FALSE)),"none")</f>
        <v/>
      </c>
      <c r="AB6" s="4" t="inlineStr">
        <is>
          <t>Source</t>
        </is>
      </c>
    </row>
    <row r="7">
      <c r="A7">
        <f>'Raw Data 3Y'!A35</f>
        <v/>
      </c>
      <c r="B7" s="3">
        <f>IFERROR((('Raw Data 3Y'!C35/'Raw Data 3Y'!B35)^(1/'Raw Data 3Y'!D35)-1)*100,"")</f>
        <v/>
      </c>
      <c r="C7" s="3">
        <f>'Raw Data 3Y'!E35</f>
        <v/>
      </c>
      <c r="D7" s="3">
        <f>INT('Raw Data 3Y'!D35)</f>
        <v/>
      </c>
      <c r="E7" s="3">
        <f>IFERROR(AVERAGE(F7:W7),"")</f>
        <v/>
      </c>
      <c r="F7" s="3">
        <f>IFERROR((('Raw Data 3Y'!G35/'Raw Data 3Y'!F35)^(1/3)-1)*100,"")</f>
        <v/>
      </c>
      <c r="G7" s="3">
        <f>IFERROR((('Raw Data 3Y'!I35/'Raw Data 3Y'!H35)^(1/3)-1)*100,"")</f>
        <v/>
      </c>
      <c r="H7" s="3">
        <f>IFERROR((('Raw Data 3Y'!K35/'Raw Data 3Y'!J35)^(1/3)-1)*100,"")</f>
        <v/>
      </c>
      <c r="I7" s="3">
        <f>IFERROR((('Raw Data 3Y'!M35/'Raw Data 3Y'!L35)^(1/3)-1)*100,"")</f>
        <v/>
      </c>
      <c r="J7" s="3">
        <f>IFERROR((('Raw Data 3Y'!O35/'Raw Data 3Y'!N35)^(1/3)-1)*100,"")</f>
        <v/>
      </c>
      <c r="K7" s="3">
        <f>IFERROR((('Raw Data 3Y'!Q35/'Raw Data 3Y'!P35)^(1/3)-1)*100,"")</f>
        <v/>
      </c>
      <c r="L7" s="3">
        <f>IFERROR((('Raw Data 3Y'!S35/'Raw Data 3Y'!R35)^(1/3)-1)*100,"")</f>
        <v/>
      </c>
      <c r="M7" s="3">
        <f>IFERROR((('Raw Data 3Y'!U35/'Raw Data 3Y'!T35)^(1/3)-1)*100,"")</f>
        <v/>
      </c>
      <c r="N7" s="3">
        <f>IFERROR((('Raw Data 3Y'!W35/'Raw Data 3Y'!V35)^(1/3)-1)*100,"")</f>
        <v/>
      </c>
      <c r="O7" s="3">
        <f>IFERROR((('Raw Data 3Y'!Y35/'Raw Data 3Y'!X35)^(1/3)-1)*100,"")</f>
        <v/>
      </c>
      <c r="P7" s="3">
        <f>IFERROR((('Raw Data 3Y'!AA35/'Raw Data 3Y'!Z35)^(1/3)-1)*100,"")</f>
        <v/>
      </c>
      <c r="Q7" s="3">
        <f>IFERROR((('Raw Data 3Y'!AC35/'Raw Data 3Y'!AB35)^(1/3)-1)*100,"")</f>
        <v/>
      </c>
      <c r="R7" s="3">
        <f>IFERROR((('Raw Data 3Y'!AE35/'Raw Data 3Y'!AD35)^(1/3)-1)*100,"")</f>
        <v/>
      </c>
      <c r="S7" s="3">
        <f>IFERROR((('Raw Data 3Y'!AG35/'Raw Data 3Y'!AF35)^(1/3)-1)*100,"")</f>
        <v/>
      </c>
      <c r="T7" s="3">
        <f>IFERROR((('Raw Data 3Y'!AI35/'Raw Data 3Y'!AH35)^(1/3)-1)*100,"")</f>
        <v/>
      </c>
      <c r="U7" s="3">
        <f>IFERROR((('Raw Data 3Y'!AK35/'Raw Data 3Y'!AJ35)^(1/3)-1)*100,"")</f>
        <v/>
      </c>
      <c r="V7" s="3">
        <f>IFERROR((('Raw Data 3Y'!AM35/'Raw Data 3Y'!AL35)^(1/3)-1)*100,"")</f>
        <v/>
      </c>
      <c r="W7" s="3">
        <f>IFERROR((('Raw Data 3Y'!AO35/'Raw Data 3Y'!AN35)^(1/3)-1)*100,"")</f>
        <v/>
      </c>
      <c r="X7" s="3">
        <f>IF(AND(ISNUMBER(F7),COUNT(F$2:F$46)&gt;=4),IF(F7&gt;=QUARTILE(F$2:F$46,3),1,0),0)+IF(AND(ISNUMBER(G7),COUNT(G$2:G$46)&gt;=4),IF(G7&gt;=QUARTILE(G$2:G$46,3),1,0),0)+IF(AND(ISNUMBER(H7),COUNT(H$2:H$46)&gt;=4),IF(H7&gt;=QUARTILE(H$2:H$46,3),1,0),0)+IF(AND(ISNUMBER(I7),COUNT(I$2:I$46)&gt;=4),IF(I7&gt;=QUARTILE(I$2:I$46,3),1,0),0)+IF(AND(ISNUMBER(J7),COUNT(J$2:J$46)&gt;=4),IF(J7&gt;=QUARTILE(J$2:J$46,3),1,0),0)+IF(AND(ISNUMBER(K7),COUNT(K$2:K$46)&gt;=4),IF(K7&gt;=QUARTILE(K$2:K$46,3),1,0),0)+IF(AND(ISNUMBER(L7),COUNT(L$2:L$46)&gt;=4),IF(L7&gt;=QUARTILE(L$2:L$46,3),1,0),0)+IF(AND(ISNUMBER(M7),COUNT(M$2:M$46)&gt;=4),IF(M7&gt;=QUARTILE(M$2:M$46,3),1,0),0)+IF(AND(ISNUMBER(N7),COUNT(N$2:N$46)&gt;=4),IF(N7&gt;=QUARTILE(N$2:N$46,3),1,0),0)+IF(AND(ISNUMBER(O7),COUNT(O$2:O$46)&gt;=4),IF(O7&gt;=QUARTILE(O$2:O$46,3),1,0),0)+IF(AND(ISNUMBER(P7),COUNT(P$2:P$46)&gt;=4),IF(P7&gt;=QUARTILE(P$2:P$46,3),1,0),0)+IF(AND(ISNUMBER(Q7),COUNT(Q$2:Q$46)&gt;=4),IF(Q7&gt;=QUARTILE(Q$2:Q$46,3),1,0),0)+IF(AND(ISNUMBER(R7),COUNT(R$2:R$46)&gt;=4),IF(R7&gt;=QUARTILE(R$2:R$46,3),1,0),0)+IF(AND(ISNUMBER(S7),COUNT(S$2:S$46)&gt;=4),IF(S7&gt;=QUARTILE(S$2:S$46,3),1,0),0)+IF(AND(ISNUMBER(T7),COUNT(T$2:T$46)&gt;=4),IF(T7&gt;=QUARTILE(T$2:T$46,3),1,0),0)+IF(AND(ISNUMBER(U7),COUNT(U$2:U$46)&gt;=4),IF(U7&gt;=QUARTILE(U$2:U$46,3),1,0),0)+IF(AND(ISNUMBER(V7),COUNT(V$2:V$46)&gt;=4),IF(V7&gt;=QUARTILE(V$2:V$46,3),1,0),0)+IF(AND(ISNUMBER(W7),COUNT(W$2:W$46)&gt;=4),IF(W7&gt;=QUARTILE(W$2:W$46,3),1,0),0)</f>
        <v/>
      </c>
      <c r="Y7" s="3">
        <f>IF(AND(ISNUMBER(F7),COUNT(F$2:F$46)&gt;=4),IF(F7&lt;=QUARTILE(F$2:F$46,1),1,0),0)+IF(AND(ISNUMBER(G7),COUNT(G$2:G$46)&gt;=4),IF(G7&lt;=QUARTILE(G$2:G$46,1),1,0),0)+IF(AND(ISNUMBER(H7),COUNT(H$2:H$46)&gt;=4),IF(H7&lt;=QUARTILE(H$2:H$46,1),1,0),0)+IF(AND(ISNUMBER(I7),COUNT(I$2:I$46)&gt;=4),IF(I7&lt;=QUARTILE(I$2:I$46,1),1,0),0)+IF(AND(ISNUMBER(J7),COUNT(J$2:J$46)&gt;=4),IF(J7&lt;=QUARTILE(J$2:J$46,1),1,0),0)+IF(AND(ISNUMBER(K7),COUNT(K$2:K$46)&gt;=4),IF(K7&lt;=QUARTILE(K$2:K$46,1),1,0),0)+IF(AND(ISNUMBER(L7),COUNT(L$2:L$46)&gt;=4),IF(L7&lt;=QUARTILE(L$2:L$46,1),1,0),0)+IF(AND(ISNUMBER(M7),COUNT(M$2:M$46)&gt;=4),IF(M7&lt;=QUARTILE(M$2:M$46,1),1,0),0)+IF(AND(ISNUMBER(N7),COUNT(N$2:N$46)&gt;=4),IF(N7&lt;=QUARTILE(N$2:N$46,1),1,0),0)+IF(AND(ISNUMBER(O7),COUNT(O$2:O$46)&gt;=4),IF(O7&lt;=QUARTILE(O$2:O$46,1),1,0),0)+IF(AND(ISNUMBER(P7),COUNT(P$2:P$46)&gt;=4),IF(P7&lt;=QUARTILE(P$2:P$46,1),1,0),0)+IF(AND(ISNUMBER(Q7),COUNT(Q$2:Q$46)&gt;=4),IF(Q7&lt;=QUARTILE(Q$2:Q$46,1),1,0),0)+IF(AND(ISNUMBER(R7),COUNT(R$2:R$46)&gt;=4),IF(R7&lt;=QUARTILE(R$2:R$46,1),1,0),0)+IF(AND(ISNUMBER(S7),COUNT(S$2:S$46)&gt;=4),IF(S7&lt;=QUARTILE(S$2:S$46,1),1,0),0)+IF(AND(ISNUMBER(T7),COUNT(T$2:T$46)&gt;=4),IF(T7&lt;=QUARTILE(T$2:T$46,1),1,0),0)+IF(AND(ISNUMBER(U7),COUNT(U$2:U$46)&gt;=4),IF(U7&lt;=QUARTILE(U$2:U$46,1),1,0),0)+IF(AND(ISNUMBER(V7),COUNT(V$2:V$46)&gt;=4),IF(V7&lt;=QUARTILE(V$2:V$46,1),1,0),0)+IF(AND(ISNUMBER(W7),COUNT(W$2:W$46)&gt;=4),IF(W7&lt;=QUARTILE(W$2:W$46,1),1,0),0)</f>
        <v/>
      </c>
      <c r="Z7" s="3">
        <f>IF(Y7=0,X7,ROUND(X7/Y7,2))</f>
        <v/>
      </c>
      <c r="AA7" s="3">
        <f>IFERROR(IF(VLOOKUP(A7,'Raw Data 3Y'!A:AP,42,FALSE)="","none",VLOOKUP(A7,'Raw Data 3Y'!A:AP,42,FALSE)),"none")</f>
        <v/>
      </c>
      <c r="AB7" s="4" t="inlineStr">
        <is>
          <t>Source</t>
        </is>
      </c>
    </row>
    <row r="8">
      <c r="A8">
        <f>'Raw Data 3Y'!A14</f>
        <v/>
      </c>
      <c r="B8" s="3">
        <f>IFERROR((('Raw Data 3Y'!C14/'Raw Data 3Y'!B14)^(1/'Raw Data 3Y'!D14)-1)*100,"")</f>
        <v/>
      </c>
      <c r="C8" s="3">
        <f>'Raw Data 3Y'!E14</f>
        <v/>
      </c>
      <c r="D8" s="3">
        <f>INT('Raw Data 3Y'!D14)</f>
        <v/>
      </c>
      <c r="E8" s="3">
        <f>IFERROR(AVERAGE(F8:W8),"")</f>
        <v/>
      </c>
      <c r="F8" s="3">
        <f>IFERROR((('Raw Data 3Y'!G14/'Raw Data 3Y'!F14)^(1/3)-1)*100,"")</f>
        <v/>
      </c>
      <c r="G8" s="3">
        <f>IFERROR((('Raw Data 3Y'!I14/'Raw Data 3Y'!H14)^(1/3)-1)*100,"")</f>
        <v/>
      </c>
      <c r="H8" s="3">
        <f>IFERROR((('Raw Data 3Y'!K14/'Raw Data 3Y'!J14)^(1/3)-1)*100,"")</f>
        <v/>
      </c>
      <c r="I8" s="3">
        <f>IFERROR((('Raw Data 3Y'!M14/'Raw Data 3Y'!L14)^(1/3)-1)*100,"")</f>
        <v/>
      </c>
      <c r="J8" s="3">
        <f>IFERROR((('Raw Data 3Y'!O14/'Raw Data 3Y'!N14)^(1/3)-1)*100,"")</f>
        <v/>
      </c>
      <c r="K8" s="3">
        <f>IFERROR((('Raw Data 3Y'!Q14/'Raw Data 3Y'!P14)^(1/3)-1)*100,"")</f>
        <v/>
      </c>
      <c r="L8" s="3">
        <f>IFERROR((('Raw Data 3Y'!S14/'Raw Data 3Y'!R14)^(1/3)-1)*100,"")</f>
        <v/>
      </c>
      <c r="M8" s="3">
        <f>IFERROR((('Raw Data 3Y'!U14/'Raw Data 3Y'!T14)^(1/3)-1)*100,"")</f>
        <v/>
      </c>
      <c r="N8" s="3">
        <f>IFERROR((('Raw Data 3Y'!W14/'Raw Data 3Y'!V14)^(1/3)-1)*100,"")</f>
        <v/>
      </c>
      <c r="O8" s="3">
        <f>IFERROR((('Raw Data 3Y'!Y14/'Raw Data 3Y'!X14)^(1/3)-1)*100,"")</f>
        <v/>
      </c>
      <c r="P8" s="3">
        <f>IFERROR((('Raw Data 3Y'!AA14/'Raw Data 3Y'!Z14)^(1/3)-1)*100,"")</f>
        <v/>
      </c>
      <c r="Q8" s="3">
        <f>IFERROR((('Raw Data 3Y'!AC14/'Raw Data 3Y'!AB14)^(1/3)-1)*100,"")</f>
        <v/>
      </c>
      <c r="R8" s="3">
        <f>IFERROR((('Raw Data 3Y'!AE14/'Raw Data 3Y'!AD14)^(1/3)-1)*100,"")</f>
        <v/>
      </c>
      <c r="S8" s="3">
        <f>IFERROR((('Raw Data 3Y'!AG14/'Raw Data 3Y'!AF14)^(1/3)-1)*100,"")</f>
        <v/>
      </c>
      <c r="T8" s="3">
        <f>IFERROR((('Raw Data 3Y'!AI14/'Raw Data 3Y'!AH14)^(1/3)-1)*100,"")</f>
        <v/>
      </c>
      <c r="U8" s="3">
        <f>IFERROR((('Raw Data 3Y'!AK14/'Raw Data 3Y'!AJ14)^(1/3)-1)*100,"")</f>
        <v/>
      </c>
      <c r="V8" s="3">
        <f>IFERROR((('Raw Data 3Y'!AM14/'Raw Data 3Y'!AL14)^(1/3)-1)*100,"")</f>
        <v/>
      </c>
      <c r="W8" s="3">
        <f>IFERROR((('Raw Data 3Y'!AO14/'Raw Data 3Y'!AN14)^(1/3)-1)*100,"")</f>
        <v/>
      </c>
      <c r="X8" s="3">
        <f>IF(AND(ISNUMBER(F8),COUNT(F$2:F$46)&gt;=4),IF(F8&gt;=QUARTILE(F$2:F$46,3),1,0),0)+IF(AND(ISNUMBER(G8),COUNT(G$2:G$46)&gt;=4),IF(G8&gt;=QUARTILE(G$2:G$46,3),1,0),0)+IF(AND(ISNUMBER(H8),COUNT(H$2:H$46)&gt;=4),IF(H8&gt;=QUARTILE(H$2:H$46,3),1,0),0)+IF(AND(ISNUMBER(I8),COUNT(I$2:I$46)&gt;=4),IF(I8&gt;=QUARTILE(I$2:I$46,3),1,0),0)+IF(AND(ISNUMBER(J8),COUNT(J$2:J$46)&gt;=4),IF(J8&gt;=QUARTILE(J$2:J$46,3),1,0),0)+IF(AND(ISNUMBER(K8),COUNT(K$2:K$46)&gt;=4),IF(K8&gt;=QUARTILE(K$2:K$46,3),1,0),0)+IF(AND(ISNUMBER(L8),COUNT(L$2:L$46)&gt;=4),IF(L8&gt;=QUARTILE(L$2:L$46,3),1,0),0)+IF(AND(ISNUMBER(M8),COUNT(M$2:M$46)&gt;=4),IF(M8&gt;=QUARTILE(M$2:M$46,3),1,0),0)+IF(AND(ISNUMBER(N8),COUNT(N$2:N$46)&gt;=4),IF(N8&gt;=QUARTILE(N$2:N$46,3),1,0),0)+IF(AND(ISNUMBER(O8),COUNT(O$2:O$46)&gt;=4),IF(O8&gt;=QUARTILE(O$2:O$46,3),1,0),0)+IF(AND(ISNUMBER(P8),COUNT(P$2:P$46)&gt;=4),IF(P8&gt;=QUARTILE(P$2:P$46,3),1,0),0)+IF(AND(ISNUMBER(Q8),COUNT(Q$2:Q$46)&gt;=4),IF(Q8&gt;=QUARTILE(Q$2:Q$46,3),1,0),0)+IF(AND(ISNUMBER(R8),COUNT(R$2:R$46)&gt;=4),IF(R8&gt;=QUARTILE(R$2:R$46,3),1,0),0)+IF(AND(ISNUMBER(S8),COUNT(S$2:S$46)&gt;=4),IF(S8&gt;=QUARTILE(S$2:S$46,3),1,0),0)+IF(AND(ISNUMBER(T8),COUNT(T$2:T$46)&gt;=4),IF(T8&gt;=QUARTILE(T$2:T$46,3),1,0),0)+IF(AND(ISNUMBER(U8),COUNT(U$2:U$46)&gt;=4),IF(U8&gt;=QUARTILE(U$2:U$46,3),1,0),0)+IF(AND(ISNUMBER(V8),COUNT(V$2:V$46)&gt;=4),IF(V8&gt;=QUARTILE(V$2:V$46,3),1,0),0)+IF(AND(ISNUMBER(W8),COUNT(W$2:W$46)&gt;=4),IF(W8&gt;=QUARTILE(W$2:W$46,3),1,0),0)</f>
        <v/>
      </c>
      <c r="Y8" s="3">
        <f>IF(AND(ISNUMBER(F8),COUNT(F$2:F$46)&gt;=4),IF(F8&lt;=QUARTILE(F$2:F$46,1),1,0),0)+IF(AND(ISNUMBER(G8),COUNT(G$2:G$46)&gt;=4),IF(G8&lt;=QUARTILE(G$2:G$46,1),1,0),0)+IF(AND(ISNUMBER(H8),COUNT(H$2:H$46)&gt;=4),IF(H8&lt;=QUARTILE(H$2:H$46,1),1,0),0)+IF(AND(ISNUMBER(I8),COUNT(I$2:I$46)&gt;=4),IF(I8&lt;=QUARTILE(I$2:I$46,1),1,0),0)+IF(AND(ISNUMBER(J8),COUNT(J$2:J$46)&gt;=4),IF(J8&lt;=QUARTILE(J$2:J$46,1),1,0),0)+IF(AND(ISNUMBER(K8),COUNT(K$2:K$46)&gt;=4),IF(K8&lt;=QUARTILE(K$2:K$46,1),1,0),0)+IF(AND(ISNUMBER(L8),COUNT(L$2:L$46)&gt;=4),IF(L8&lt;=QUARTILE(L$2:L$46,1),1,0),0)+IF(AND(ISNUMBER(M8),COUNT(M$2:M$46)&gt;=4),IF(M8&lt;=QUARTILE(M$2:M$46,1),1,0),0)+IF(AND(ISNUMBER(N8),COUNT(N$2:N$46)&gt;=4),IF(N8&lt;=QUARTILE(N$2:N$46,1),1,0),0)+IF(AND(ISNUMBER(O8),COUNT(O$2:O$46)&gt;=4),IF(O8&lt;=QUARTILE(O$2:O$46,1),1,0),0)+IF(AND(ISNUMBER(P8),COUNT(P$2:P$46)&gt;=4),IF(P8&lt;=QUARTILE(P$2:P$46,1),1,0),0)+IF(AND(ISNUMBER(Q8),COUNT(Q$2:Q$46)&gt;=4),IF(Q8&lt;=QUARTILE(Q$2:Q$46,1),1,0),0)+IF(AND(ISNUMBER(R8),COUNT(R$2:R$46)&gt;=4),IF(R8&lt;=QUARTILE(R$2:R$46,1),1,0),0)+IF(AND(ISNUMBER(S8),COUNT(S$2:S$46)&gt;=4),IF(S8&lt;=QUARTILE(S$2:S$46,1),1,0),0)+IF(AND(ISNUMBER(T8),COUNT(T$2:T$46)&gt;=4),IF(T8&lt;=QUARTILE(T$2:T$46,1),1,0),0)+IF(AND(ISNUMBER(U8),COUNT(U$2:U$46)&gt;=4),IF(U8&lt;=QUARTILE(U$2:U$46,1),1,0),0)+IF(AND(ISNUMBER(V8),COUNT(V$2:V$46)&gt;=4),IF(V8&lt;=QUARTILE(V$2:V$46,1),1,0),0)+IF(AND(ISNUMBER(W8),COUNT(W$2:W$46)&gt;=4),IF(W8&lt;=QUARTILE(W$2:W$46,1),1,0),0)</f>
        <v/>
      </c>
      <c r="Z8" s="3">
        <f>IF(Y8=0,X8,ROUND(X8/Y8,2))</f>
        <v/>
      </c>
      <c r="AA8" s="3">
        <f>IFERROR(IF(VLOOKUP(A8,'Raw Data 3Y'!A:AP,42,FALSE)="","none",VLOOKUP(A8,'Raw Data 3Y'!A:AP,42,FALSE)),"none")</f>
        <v/>
      </c>
      <c r="AB8" s="4" t="inlineStr">
        <is>
          <t>Source</t>
        </is>
      </c>
    </row>
    <row r="9">
      <c r="A9">
        <f>'Raw Data 3Y'!A12</f>
        <v/>
      </c>
      <c r="B9" s="3">
        <f>IFERROR((('Raw Data 3Y'!C12/'Raw Data 3Y'!B12)^(1/'Raw Data 3Y'!D12)-1)*100,"")</f>
        <v/>
      </c>
      <c r="C9" s="3">
        <f>'Raw Data 3Y'!E12</f>
        <v/>
      </c>
      <c r="D9" s="3">
        <f>INT('Raw Data 3Y'!D12)</f>
        <v/>
      </c>
      <c r="E9" s="3">
        <f>IFERROR(AVERAGE(F9:W9),"")</f>
        <v/>
      </c>
      <c r="F9" s="3">
        <f>IFERROR((('Raw Data 3Y'!G12/'Raw Data 3Y'!F12)^(1/3)-1)*100,"")</f>
        <v/>
      </c>
      <c r="G9" s="3">
        <f>IFERROR((('Raw Data 3Y'!I12/'Raw Data 3Y'!H12)^(1/3)-1)*100,"")</f>
        <v/>
      </c>
      <c r="H9" s="3">
        <f>IFERROR((('Raw Data 3Y'!K12/'Raw Data 3Y'!J12)^(1/3)-1)*100,"")</f>
        <v/>
      </c>
      <c r="I9" s="3">
        <f>IFERROR((('Raw Data 3Y'!M12/'Raw Data 3Y'!L12)^(1/3)-1)*100,"")</f>
        <v/>
      </c>
      <c r="J9" s="3">
        <f>IFERROR((('Raw Data 3Y'!O12/'Raw Data 3Y'!N12)^(1/3)-1)*100,"")</f>
        <v/>
      </c>
      <c r="K9" s="3">
        <f>IFERROR((('Raw Data 3Y'!Q12/'Raw Data 3Y'!P12)^(1/3)-1)*100,"")</f>
        <v/>
      </c>
      <c r="L9" s="3">
        <f>IFERROR((('Raw Data 3Y'!S12/'Raw Data 3Y'!R12)^(1/3)-1)*100,"")</f>
        <v/>
      </c>
      <c r="M9" s="3">
        <f>IFERROR((('Raw Data 3Y'!U12/'Raw Data 3Y'!T12)^(1/3)-1)*100,"")</f>
        <v/>
      </c>
      <c r="N9" s="3">
        <f>IFERROR((('Raw Data 3Y'!W12/'Raw Data 3Y'!V12)^(1/3)-1)*100,"")</f>
        <v/>
      </c>
      <c r="O9" s="3">
        <f>IFERROR((('Raw Data 3Y'!Y12/'Raw Data 3Y'!X12)^(1/3)-1)*100,"")</f>
        <v/>
      </c>
      <c r="P9" s="3">
        <f>IFERROR((('Raw Data 3Y'!AA12/'Raw Data 3Y'!Z12)^(1/3)-1)*100,"")</f>
        <v/>
      </c>
      <c r="Q9" s="3">
        <f>IFERROR((('Raw Data 3Y'!AC12/'Raw Data 3Y'!AB12)^(1/3)-1)*100,"")</f>
        <v/>
      </c>
      <c r="R9" s="3">
        <f>IFERROR((('Raw Data 3Y'!AE12/'Raw Data 3Y'!AD12)^(1/3)-1)*100,"")</f>
        <v/>
      </c>
      <c r="S9" s="3">
        <f>IFERROR((('Raw Data 3Y'!AG12/'Raw Data 3Y'!AF12)^(1/3)-1)*100,"")</f>
        <v/>
      </c>
      <c r="T9" s="3">
        <f>IFERROR((('Raw Data 3Y'!AI12/'Raw Data 3Y'!AH12)^(1/3)-1)*100,"")</f>
        <v/>
      </c>
      <c r="U9" s="3">
        <f>IFERROR((('Raw Data 3Y'!AK12/'Raw Data 3Y'!AJ12)^(1/3)-1)*100,"")</f>
        <v/>
      </c>
      <c r="V9" s="3">
        <f>IFERROR((('Raw Data 3Y'!AM12/'Raw Data 3Y'!AL12)^(1/3)-1)*100,"")</f>
        <v/>
      </c>
      <c r="W9" s="3">
        <f>IFERROR((('Raw Data 3Y'!AO12/'Raw Data 3Y'!AN12)^(1/3)-1)*100,"")</f>
        <v/>
      </c>
      <c r="X9" s="3">
        <f>IF(AND(ISNUMBER(F9),COUNT(F$2:F$46)&gt;=4),IF(F9&gt;=QUARTILE(F$2:F$46,3),1,0),0)+IF(AND(ISNUMBER(G9),COUNT(G$2:G$46)&gt;=4),IF(G9&gt;=QUARTILE(G$2:G$46,3),1,0),0)+IF(AND(ISNUMBER(H9),COUNT(H$2:H$46)&gt;=4),IF(H9&gt;=QUARTILE(H$2:H$46,3),1,0),0)+IF(AND(ISNUMBER(I9),COUNT(I$2:I$46)&gt;=4),IF(I9&gt;=QUARTILE(I$2:I$46,3),1,0),0)+IF(AND(ISNUMBER(J9),COUNT(J$2:J$46)&gt;=4),IF(J9&gt;=QUARTILE(J$2:J$46,3),1,0),0)+IF(AND(ISNUMBER(K9),COUNT(K$2:K$46)&gt;=4),IF(K9&gt;=QUARTILE(K$2:K$46,3),1,0),0)+IF(AND(ISNUMBER(L9),COUNT(L$2:L$46)&gt;=4),IF(L9&gt;=QUARTILE(L$2:L$46,3),1,0),0)+IF(AND(ISNUMBER(M9),COUNT(M$2:M$46)&gt;=4),IF(M9&gt;=QUARTILE(M$2:M$46,3),1,0),0)+IF(AND(ISNUMBER(N9),COUNT(N$2:N$46)&gt;=4),IF(N9&gt;=QUARTILE(N$2:N$46,3),1,0),0)+IF(AND(ISNUMBER(O9),COUNT(O$2:O$46)&gt;=4),IF(O9&gt;=QUARTILE(O$2:O$46,3),1,0),0)+IF(AND(ISNUMBER(P9),COUNT(P$2:P$46)&gt;=4),IF(P9&gt;=QUARTILE(P$2:P$46,3),1,0),0)+IF(AND(ISNUMBER(Q9),COUNT(Q$2:Q$46)&gt;=4),IF(Q9&gt;=QUARTILE(Q$2:Q$46,3),1,0),0)+IF(AND(ISNUMBER(R9),COUNT(R$2:R$46)&gt;=4),IF(R9&gt;=QUARTILE(R$2:R$46,3),1,0),0)+IF(AND(ISNUMBER(S9),COUNT(S$2:S$46)&gt;=4),IF(S9&gt;=QUARTILE(S$2:S$46,3),1,0),0)+IF(AND(ISNUMBER(T9),COUNT(T$2:T$46)&gt;=4),IF(T9&gt;=QUARTILE(T$2:T$46,3),1,0),0)+IF(AND(ISNUMBER(U9),COUNT(U$2:U$46)&gt;=4),IF(U9&gt;=QUARTILE(U$2:U$46,3),1,0),0)+IF(AND(ISNUMBER(V9),COUNT(V$2:V$46)&gt;=4),IF(V9&gt;=QUARTILE(V$2:V$46,3),1,0),0)+IF(AND(ISNUMBER(W9),COUNT(W$2:W$46)&gt;=4),IF(W9&gt;=QUARTILE(W$2:W$46,3),1,0),0)</f>
        <v/>
      </c>
      <c r="Y9" s="3">
        <f>IF(AND(ISNUMBER(F9),COUNT(F$2:F$46)&gt;=4),IF(F9&lt;=QUARTILE(F$2:F$46,1),1,0),0)+IF(AND(ISNUMBER(G9),COUNT(G$2:G$46)&gt;=4),IF(G9&lt;=QUARTILE(G$2:G$46,1),1,0),0)+IF(AND(ISNUMBER(H9),COUNT(H$2:H$46)&gt;=4),IF(H9&lt;=QUARTILE(H$2:H$46,1),1,0),0)+IF(AND(ISNUMBER(I9),COUNT(I$2:I$46)&gt;=4),IF(I9&lt;=QUARTILE(I$2:I$46,1),1,0),0)+IF(AND(ISNUMBER(J9),COUNT(J$2:J$46)&gt;=4),IF(J9&lt;=QUARTILE(J$2:J$46,1),1,0),0)+IF(AND(ISNUMBER(K9),COUNT(K$2:K$46)&gt;=4),IF(K9&lt;=QUARTILE(K$2:K$46,1),1,0),0)+IF(AND(ISNUMBER(L9),COUNT(L$2:L$46)&gt;=4),IF(L9&lt;=QUARTILE(L$2:L$46,1),1,0),0)+IF(AND(ISNUMBER(M9),COUNT(M$2:M$46)&gt;=4),IF(M9&lt;=QUARTILE(M$2:M$46,1),1,0),0)+IF(AND(ISNUMBER(N9),COUNT(N$2:N$46)&gt;=4),IF(N9&lt;=QUARTILE(N$2:N$46,1),1,0),0)+IF(AND(ISNUMBER(O9),COUNT(O$2:O$46)&gt;=4),IF(O9&lt;=QUARTILE(O$2:O$46,1),1,0),0)+IF(AND(ISNUMBER(P9),COUNT(P$2:P$46)&gt;=4),IF(P9&lt;=QUARTILE(P$2:P$46,1),1,0),0)+IF(AND(ISNUMBER(Q9),COUNT(Q$2:Q$46)&gt;=4),IF(Q9&lt;=QUARTILE(Q$2:Q$46,1),1,0),0)+IF(AND(ISNUMBER(R9),COUNT(R$2:R$46)&gt;=4),IF(R9&lt;=QUARTILE(R$2:R$46,1),1,0),0)+IF(AND(ISNUMBER(S9),COUNT(S$2:S$46)&gt;=4),IF(S9&lt;=QUARTILE(S$2:S$46,1),1,0),0)+IF(AND(ISNUMBER(T9),COUNT(T$2:T$46)&gt;=4),IF(T9&lt;=QUARTILE(T$2:T$46,1),1,0),0)+IF(AND(ISNUMBER(U9),COUNT(U$2:U$46)&gt;=4),IF(U9&lt;=QUARTILE(U$2:U$46,1),1,0),0)+IF(AND(ISNUMBER(V9),COUNT(V$2:V$46)&gt;=4),IF(V9&lt;=QUARTILE(V$2:V$46,1),1,0),0)+IF(AND(ISNUMBER(W9),COUNT(W$2:W$46)&gt;=4),IF(W9&lt;=QUARTILE(W$2:W$46,1),1,0),0)</f>
        <v/>
      </c>
      <c r="Z9" s="3">
        <f>IF(Y9=0,X9,ROUND(X9/Y9,2))</f>
        <v/>
      </c>
      <c r="AA9" s="3">
        <f>IFERROR(IF(VLOOKUP(A9,'Raw Data 3Y'!A:AP,42,FALSE)="","none",VLOOKUP(A9,'Raw Data 3Y'!A:AP,42,FALSE)),"none")</f>
        <v/>
      </c>
      <c r="AB9" s="4" t="inlineStr">
        <is>
          <t>Source</t>
        </is>
      </c>
    </row>
    <row r="10">
      <c r="A10">
        <f>'Raw Data 3Y'!A36</f>
        <v/>
      </c>
      <c r="B10" s="3">
        <f>IFERROR((('Raw Data 3Y'!C36/'Raw Data 3Y'!B36)^(1/'Raw Data 3Y'!D36)-1)*100,"")</f>
        <v/>
      </c>
      <c r="C10" s="3">
        <f>'Raw Data 3Y'!E36</f>
        <v/>
      </c>
      <c r="D10" s="3">
        <f>INT('Raw Data 3Y'!D36)</f>
        <v/>
      </c>
      <c r="E10" s="3">
        <f>IFERROR(AVERAGE(F10:W10),"")</f>
        <v/>
      </c>
      <c r="F10" s="3">
        <f>IFERROR((('Raw Data 3Y'!G36/'Raw Data 3Y'!F36)^(1/3)-1)*100,"")</f>
        <v/>
      </c>
      <c r="G10" s="3">
        <f>IFERROR((('Raw Data 3Y'!I36/'Raw Data 3Y'!H36)^(1/3)-1)*100,"")</f>
        <v/>
      </c>
      <c r="H10" s="3">
        <f>IFERROR((('Raw Data 3Y'!K36/'Raw Data 3Y'!J36)^(1/3)-1)*100,"")</f>
        <v/>
      </c>
      <c r="I10" s="3">
        <f>IFERROR((('Raw Data 3Y'!M36/'Raw Data 3Y'!L36)^(1/3)-1)*100,"")</f>
        <v/>
      </c>
      <c r="J10" s="3">
        <f>IFERROR((('Raw Data 3Y'!O36/'Raw Data 3Y'!N36)^(1/3)-1)*100,"")</f>
        <v/>
      </c>
      <c r="K10" s="3">
        <f>IFERROR((('Raw Data 3Y'!Q36/'Raw Data 3Y'!P36)^(1/3)-1)*100,"")</f>
        <v/>
      </c>
      <c r="L10" s="3">
        <f>IFERROR((('Raw Data 3Y'!S36/'Raw Data 3Y'!R36)^(1/3)-1)*100,"")</f>
        <v/>
      </c>
      <c r="M10" s="3">
        <f>IFERROR((('Raw Data 3Y'!U36/'Raw Data 3Y'!T36)^(1/3)-1)*100,"")</f>
        <v/>
      </c>
      <c r="N10" s="3">
        <f>IFERROR((('Raw Data 3Y'!W36/'Raw Data 3Y'!V36)^(1/3)-1)*100,"")</f>
        <v/>
      </c>
      <c r="O10" s="3">
        <f>IFERROR((('Raw Data 3Y'!Y36/'Raw Data 3Y'!X36)^(1/3)-1)*100,"")</f>
        <v/>
      </c>
      <c r="P10" s="3">
        <f>IFERROR((('Raw Data 3Y'!AA36/'Raw Data 3Y'!Z36)^(1/3)-1)*100,"")</f>
        <v/>
      </c>
      <c r="Q10" s="3">
        <f>IFERROR((('Raw Data 3Y'!AC36/'Raw Data 3Y'!AB36)^(1/3)-1)*100,"")</f>
        <v/>
      </c>
      <c r="R10" s="3">
        <f>IFERROR((('Raw Data 3Y'!AE36/'Raw Data 3Y'!AD36)^(1/3)-1)*100,"")</f>
        <v/>
      </c>
      <c r="S10" s="3">
        <f>IFERROR((('Raw Data 3Y'!AG36/'Raw Data 3Y'!AF36)^(1/3)-1)*100,"")</f>
        <v/>
      </c>
      <c r="T10" s="3">
        <f>IFERROR((('Raw Data 3Y'!AI36/'Raw Data 3Y'!AH36)^(1/3)-1)*100,"")</f>
        <v/>
      </c>
      <c r="U10" s="3">
        <f>IFERROR((('Raw Data 3Y'!AK36/'Raw Data 3Y'!AJ36)^(1/3)-1)*100,"")</f>
        <v/>
      </c>
      <c r="V10" s="3">
        <f>IFERROR((('Raw Data 3Y'!AM36/'Raw Data 3Y'!AL36)^(1/3)-1)*100,"")</f>
        <v/>
      </c>
      <c r="W10" s="3">
        <f>IFERROR((('Raw Data 3Y'!AO36/'Raw Data 3Y'!AN36)^(1/3)-1)*100,"")</f>
        <v/>
      </c>
      <c r="X10" s="3">
        <f>IF(AND(ISNUMBER(F10),COUNT(F$2:F$46)&gt;=4),IF(F10&gt;=QUARTILE(F$2:F$46,3),1,0),0)+IF(AND(ISNUMBER(G10),COUNT(G$2:G$46)&gt;=4),IF(G10&gt;=QUARTILE(G$2:G$46,3),1,0),0)+IF(AND(ISNUMBER(H10),COUNT(H$2:H$46)&gt;=4),IF(H10&gt;=QUARTILE(H$2:H$46,3),1,0),0)+IF(AND(ISNUMBER(I10),COUNT(I$2:I$46)&gt;=4),IF(I10&gt;=QUARTILE(I$2:I$46,3),1,0),0)+IF(AND(ISNUMBER(J10),COUNT(J$2:J$46)&gt;=4),IF(J10&gt;=QUARTILE(J$2:J$46,3),1,0),0)+IF(AND(ISNUMBER(K10),COUNT(K$2:K$46)&gt;=4),IF(K10&gt;=QUARTILE(K$2:K$46,3),1,0),0)+IF(AND(ISNUMBER(L10),COUNT(L$2:L$46)&gt;=4),IF(L10&gt;=QUARTILE(L$2:L$46,3),1,0),0)+IF(AND(ISNUMBER(M10),COUNT(M$2:M$46)&gt;=4),IF(M10&gt;=QUARTILE(M$2:M$46,3),1,0),0)+IF(AND(ISNUMBER(N10),COUNT(N$2:N$46)&gt;=4),IF(N10&gt;=QUARTILE(N$2:N$46,3),1,0),0)+IF(AND(ISNUMBER(O10),COUNT(O$2:O$46)&gt;=4),IF(O10&gt;=QUARTILE(O$2:O$46,3),1,0),0)+IF(AND(ISNUMBER(P10),COUNT(P$2:P$46)&gt;=4),IF(P10&gt;=QUARTILE(P$2:P$46,3),1,0),0)+IF(AND(ISNUMBER(Q10),COUNT(Q$2:Q$46)&gt;=4),IF(Q10&gt;=QUARTILE(Q$2:Q$46,3),1,0),0)+IF(AND(ISNUMBER(R10),COUNT(R$2:R$46)&gt;=4),IF(R10&gt;=QUARTILE(R$2:R$46,3),1,0),0)+IF(AND(ISNUMBER(S10),COUNT(S$2:S$46)&gt;=4),IF(S10&gt;=QUARTILE(S$2:S$46,3),1,0),0)+IF(AND(ISNUMBER(T10),COUNT(T$2:T$46)&gt;=4),IF(T10&gt;=QUARTILE(T$2:T$46,3),1,0),0)+IF(AND(ISNUMBER(U10),COUNT(U$2:U$46)&gt;=4),IF(U10&gt;=QUARTILE(U$2:U$46,3),1,0),0)+IF(AND(ISNUMBER(V10),COUNT(V$2:V$46)&gt;=4),IF(V10&gt;=QUARTILE(V$2:V$46,3),1,0),0)+IF(AND(ISNUMBER(W10),COUNT(W$2:W$46)&gt;=4),IF(W10&gt;=QUARTILE(W$2:W$46,3),1,0),0)</f>
        <v/>
      </c>
      <c r="Y10" s="3">
        <f>IF(AND(ISNUMBER(F10),COUNT(F$2:F$46)&gt;=4),IF(F10&lt;=QUARTILE(F$2:F$46,1),1,0),0)+IF(AND(ISNUMBER(G10),COUNT(G$2:G$46)&gt;=4),IF(G10&lt;=QUARTILE(G$2:G$46,1),1,0),0)+IF(AND(ISNUMBER(H10),COUNT(H$2:H$46)&gt;=4),IF(H10&lt;=QUARTILE(H$2:H$46,1),1,0),0)+IF(AND(ISNUMBER(I10),COUNT(I$2:I$46)&gt;=4),IF(I10&lt;=QUARTILE(I$2:I$46,1),1,0),0)+IF(AND(ISNUMBER(J10),COUNT(J$2:J$46)&gt;=4),IF(J10&lt;=QUARTILE(J$2:J$46,1),1,0),0)+IF(AND(ISNUMBER(K10),COUNT(K$2:K$46)&gt;=4),IF(K10&lt;=QUARTILE(K$2:K$46,1),1,0),0)+IF(AND(ISNUMBER(L10),COUNT(L$2:L$46)&gt;=4),IF(L10&lt;=QUARTILE(L$2:L$46,1),1,0),0)+IF(AND(ISNUMBER(M10),COUNT(M$2:M$46)&gt;=4),IF(M10&lt;=QUARTILE(M$2:M$46,1),1,0),0)+IF(AND(ISNUMBER(N10),COUNT(N$2:N$46)&gt;=4),IF(N10&lt;=QUARTILE(N$2:N$46,1),1,0),0)+IF(AND(ISNUMBER(O10),COUNT(O$2:O$46)&gt;=4),IF(O10&lt;=QUARTILE(O$2:O$46,1),1,0),0)+IF(AND(ISNUMBER(P10),COUNT(P$2:P$46)&gt;=4),IF(P10&lt;=QUARTILE(P$2:P$46,1),1,0),0)+IF(AND(ISNUMBER(Q10),COUNT(Q$2:Q$46)&gt;=4),IF(Q10&lt;=QUARTILE(Q$2:Q$46,1),1,0),0)+IF(AND(ISNUMBER(R10),COUNT(R$2:R$46)&gt;=4),IF(R10&lt;=QUARTILE(R$2:R$46,1),1,0),0)+IF(AND(ISNUMBER(S10),COUNT(S$2:S$46)&gt;=4),IF(S10&lt;=QUARTILE(S$2:S$46,1),1,0),0)+IF(AND(ISNUMBER(T10),COUNT(T$2:T$46)&gt;=4),IF(T10&lt;=QUARTILE(T$2:T$46,1),1,0),0)+IF(AND(ISNUMBER(U10),COUNT(U$2:U$46)&gt;=4),IF(U10&lt;=QUARTILE(U$2:U$46,1),1,0),0)+IF(AND(ISNUMBER(V10),COUNT(V$2:V$46)&gt;=4),IF(V10&lt;=QUARTILE(V$2:V$46,1),1,0),0)+IF(AND(ISNUMBER(W10),COUNT(W$2:W$46)&gt;=4),IF(W10&lt;=QUARTILE(W$2:W$46,1),1,0),0)</f>
        <v/>
      </c>
      <c r="Z10" s="3">
        <f>IF(Y10=0,X10,ROUND(X10/Y10,2))</f>
        <v/>
      </c>
      <c r="AA10" s="3">
        <f>IFERROR(IF(VLOOKUP(A10,'Raw Data 3Y'!A:AP,42,FALSE)="","none",VLOOKUP(A10,'Raw Data 3Y'!A:AP,42,FALSE)),"none")</f>
        <v/>
      </c>
      <c r="AB10" s="4" t="inlineStr">
        <is>
          <t>Source</t>
        </is>
      </c>
    </row>
    <row r="11">
      <c r="A11">
        <f>'Raw Data 3Y'!A29</f>
        <v/>
      </c>
      <c r="B11" s="3">
        <f>IFERROR((('Raw Data 3Y'!C29/'Raw Data 3Y'!B29)^(1/'Raw Data 3Y'!D29)-1)*100,"")</f>
        <v/>
      </c>
      <c r="C11" s="3">
        <f>'Raw Data 3Y'!E29</f>
        <v/>
      </c>
      <c r="D11" s="3">
        <f>INT('Raw Data 3Y'!D29)</f>
        <v/>
      </c>
      <c r="E11" s="3">
        <f>IFERROR(AVERAGE(F11:W11),"")</f>
        <v/>
      </c>
      <c r="F11" s="3">
        <f>IFERROR((('Raw Data 3Y'!G29/'Raw Data 3Y'!F29)^(1/3)-1)*100,"")</f>
        <v/>
      </c>
      <c r="G11" s="3">
        <f>IFERROR((('Raw Data 3Y'!I29/'Raw Data 3Y'!H29)^(1/3)-1)*100,"")</f>
        <v/>
      </c>
      <c r="H11" s="3">
        <f>IFERROR((('Raw Data 3Y'!K29/'Raw Data 3Y'!J29)^(1/3)-1)*100,"")</f>
        <v/>
      </c>
      <c r="I11" s="3">
        <f>IFERROR((('Raw Data 3Y'!M29/'Raw Data 3Y'!L29)^(1/3)-1)*100,"")</f>
        <v/>
      </c>
      <c r="J11" s="3">
        <f>IFERROR((('Raw Data 3Y'!O29/'Raw Data 3Y'!N29)^(1/3)-1)*100,"")</f>
        <v/>
      </c>
      <c r="K11" s="3">
        <f>IFERROR((('Raw Data 3Y'!Q29/'Raw Data 3Y'!P29)^(1/3)-1)*100,"")</f>
        <v/>
      </c>
      <c r="L11" s="3">
        <f>IFERROR((('Raw Data 3Y'!S29/'Raw Data 3Y'!R29)^(1/3)-1)*100,"")</f>
        <v/>
      </c>
      <c r="M11" s="3">
        <f>IFERROR((('Raw Data 3Y'!U29/'Raw Data 3Y'!T29)^(1/3)-1)*100,"")</f>
        <v/>
      </c>
      <c r="N11" s="3">
        <f>IFERROR((('Raw Data 3Y'!W29/'Raw Data 3Y'!V29)^(1/3)-1)*100,"")</f>
        <v/>
      </c>
      <c r="O11" s="3">
        <f>IFERROR((('Raw Data 3Y'!Y29/'Raw Data 3Y'!X29)^(1/3)-1)*100,"")</f>
        <v/>
      </c>
      <c r="P11" s="3">
        <f>IFERROR((('Raw Data 3Y'!AA29/'Raw Data 3Y'!Z29)^(1/3)-1)*100,"")</f>
        <v/>
      </c>
      <c r="Q11" s="3">
        <f>IFERROR((('Raw Data 3Y'!AC29/'Raw Data 3Y'!AB29)^(1/3)-1)*100,"")</f>
        <v/>
      </c>
      <c r="R11" s="3">
        <f>IFERROR((('Raw Data 3Y'!AE29/'Raw Data 3Y'!AD29)^(1/3)-1)*100,"")</f>
        <v/>
      </c>
      <c r="S11" s="3">
        <f>IFERROR((('Raw Data 3Y'!AG29/'Raw Data 3Y'!AF29)^(1/3)-1)*100,"")</f>
        <v/>
      </c>
      <c r="T11" s="3">
        <f>IFERROR((('Raw Data 3Y'!AI29/'Raw Data 3Y'!AH29)^(1/3)-1)*100,"")</f>
        <v/>
      </c>
      <c r="U11" s="3">
        <f>IFERROR((('Raw Data 3Y'!AK29/'Raw Data 3Y'!AJ29)^(1/3)-1)*100,"")</f>
        <v/>
      </c>
      <c r="V11" s="3">
        <f>IFERROR((('Raw Data 3Y'!AM29/'Raw Data 3Y'!AL29)^(1/3)-1)*100,"")</f>
        <v/>
      </c>
      <c r="W11" s="3">
        <f>IFERROR((('Raw Data 3Y'!AO29/'Raw Data 3Y'!AN29)^(1/3)-1)*100,"")</f>
        <v/>
      </c>
      <c r="X11" s="3">
        <f>IF(AND(ISNUMBER(F11),COUNT(F$2:F$46)&gt;=4),IF(F11&gt;=QUARTILE(F$2:F$46,3),1,0),0)+IF(AND(ISNUMBER(G11),COUNT(G$2:G$46)&gt;=4),IF(G11&gt;=QUARTILE(G$2:G$46,3),1,0),0)+IF(AND(ISNUMBER(H11),COUNT(H$2:H$46)&gt;=4),IF(H11&gt;=QUARTILE(H$2:H$46,3),1,0),0)+IF(AND(ISNUMBER(I11),COUNT(I$2:I$46)&gt;=4),IF(I11&gt;=QUARTILE(I$2:I$46,3),1,0),0)+IF(AND(ISNUMBER(J11),COUNT(J$2:J$46)&gt;=4),IF(J11&gt;=QUARTILE(J$2:J$46,3),1,0),0)+IF(AND(ISNUMBER(K11),COUNT(K$2:K$46)&gt;=4),IF(K11&gt;=QUARTILE(K$2:K$46,3),1,0),0)+IF(AND(ISNUMBER(L11),COUNT(L$2:L$46)&gt;=4),IF(L11&gt;=QUARTILE(L$2:L$46,3),1,0),0)+IF(AND(ISNUMBER(M11),COUNT(M$2:M$46)&gt;=4),IF(M11&gt;=QUARTILE(M$2:M$46,3),1,0),0)+IF(AND(ISNUMBER(N11),COUNT(N$2:N$46)&gt;=4),IF(N11&gt;=QUARTILE(N$2:N$46,3),1,0),0)+IF(AND(ISNUMBER(O11),COUNT(O$2:O$46)&gt;=4),IF(O11&gt;=QUARTILE(O$2:O$46,3),1,0),0)+IF(AND(ISNUMBER(P11),COUNT(P$2:P$46)&gt;=4),IF(P11&gt;=QUARTILE(P$2:P$46,3),1,0),0)+IF(AND(ISNUMBER(Q11),COUNT(Q$2:Q$46)&gt;=4),IF(Q11&gt;=QUARTILE(Q$2:Q$46,3),1,0),0)+IF(AND(ISNUMBER(R11),COUNT(R$2:R$46)&gt;=4),IF(R11&gt;=QUARTILE(R$2:R$46,3),1,0),0)+IF(AND(ISNUMBER(S11),COUNT(S$2:S$46)&gt;=4),IF(S11&gt;=QUARTILE(S$2:S$46,3),1,0),0)+IF(AND(ISNUMBER(T11),COUNT(T$2:T$46)&gt;=4),IF(T11&gt;=QUARTILE(T$2:T$46,3),1,0),0)+IF(AND(ISNUMBER(U11),COUNT(U$2:U$46)&gt;=4),IF(U11&gt;=QUARTILE(U$2:U$46,3),1,0),0)+IF(AND(ISNUMBER(V11),COUNT(V$2:V$46)&gt;=4),IF(V11&gt;=QUARTILE(V$2:V$46,3),1,0),0)+IF(AND(ISNUMBER(W11),COUNT(W$2:W$46)&gt;=4),IF(W11&gt;=QUARTILE(W$2:W$46,3),1,0),0)</f>
        <v/>
      </c>
      <c r="Y11" s="3">
        <f>IF(AND(ISNUMBER(F11),COUNT(F$2:F$46)&gt;=4),IF(F11&lt;=QUARTILE(F$2:F$46,1),1,0),0)+IF(AND(ISNUMBER(G11),COUNT(G$2:G$46)&gt;=4),IF(G11&lt;=QUARTILE(G$2:G$46,1),1,0),0)+IF(AND(ISNUMBER(H11),COUNT(H$2:H$46)&gt;=4),IF(H11&lt;=QUARTILE(H$2:H$46,1),1,0),0)+IF(AND(ISNUMBER(I11),COUNT(I$2:I$46)&gt;=4),IF(I11&lt;=QUARTILE(I$2:I$46,1),1,0),0)+IF(AND(ISNUMBER(J11),COUNT(J$2:J$46)&gt;=4),IF(J11&lt;=QUARTILE(J$2:J$46,1),1,0),0)+IF(AND(ISNUMBER(K11),COUNT(K$2:K$46)&gt;=4),IF(K11&lt;=QUARTILE(K$2:K$46,1),1,0),0)+IF(AND(ISNUMBER(L11),COUNT(L$2:L$46)&gt;=4),IF(L11&lt;=QUARTILE(L$2:L$46,1),1,0),0)+IF(AND(ISNUMBER(M11),COUNT(M$2:M$46)&gt;=4),IF(M11&lt;=QUARTILE(M$2:M$46,1),1,0),0)+IF(AND(ISNUMBER(N11),COUNT(N$2:N$46)&gt;=4),IF(N11&lt;=QUARTILE(N$2:N$46,1),1,0),0)+IF(AND(ISNUMBER(O11),COUNT(O$2:O$46)&gt;=4),IF(O11&lt;=QUARTILE(O$2:O$46,1),1,0),0)+IF(AND(ISNUMBER(P11),COUNT(P$2:P$46)&gt;=4),IF(P11&lt;=QUARTILE(P$2:P$46,1),1,0),0)+IF(AND(ISNUMBER(Q11),COUNT(Q$2:Q$46)&gt;=4),IF(Q11&lt;=QUARTILE(Q$2:Q$46,1),1,0),0)+IF(AND(ISNUMBER(R11),COUNT(R$2:R$46)&gt;=4),IF(R11&lt;=QUARTILE(R$2:R$46,1),1,0),0)+IF(AND(ISNUMBER(S11),COUNT(S$2:S$46)&gt;=4),IF(S11&lt;=QUARTILE(S$2:S$46,1),1,0),0)+IF(AND(ISNUMBER(T11),COUNT(T$2:T$46)&gt;=4),IF(T11&lt;=QUARTILE(T$2:T$46,1),1,0),0)+IF(AND(ISNUMBER(U11),COUNT(U$2:U$46)&gt;=4),IF(U11&lt;=QUARTILE(U$2:U$46,1),1,0),0)+IF(AND(ISNUMBER(V11),COUNT(V$2:V$46)&gt;=4),IF(V11&lt;=QUARTILE(V$2:V$46,1),1,0),0)+IF(AND(ISNUMBER(W11),COUNT(W$2:W$46)&gt;=4),IF(W11&lt;=QUARTILE(W$2:W$46,1),1,0),0)</f>
        <v/>
      </c>
      <c r="Z11" s="3">
        <f>IF(Y11=0,X11,ROUND(X11/Y11,2))</f>
        <v/>
      </c>
      <c r="AA11" s="3">
        <f>IFERROR(IF(VLOOKUP(A11,'Raw Data 3Y'!A:AP,42,FALSE)="","none",VLOOKUP(A11,'Raw Data 3Y'!A:AP,42,FALSE)),"none")</f>
        <v/>
      </c>
      <c r="AB11" s="4" t="inlineStr">
        <is>
          <t>Source</t>
        </is>
      </c>
    </row>
    <row r="12">
      <c r="A12">
        <f>'Raw Data 3Y'!A18</f>
        <v/>
      </c>
      <c r="B12" s="3">
        <f>IFERROR((('Raw Data 3Y'!C18/'Raw Data 3Y'!B18)^(1/'Raw Data 3Y'!D18)-1)*100,"")</f>
        <v/>
      </c>
      <c r="C12" s="3">
        <f>'Raw Data 3Y'!E18</f>
        <v/>
      </c>
      <c r="D12" s="3">
        <f>INT('Raw Data 3Y'!D18)</f>
        <v/>
      </c>
      <c r="E12" s="3">
        <f>IFERROR(AVERAGE(F12:W12),"")</f>
        <v/>
      </c>
      <c r="F12" s="3">
        <f>IFERROR((('Raw Data 3Y'!G18/'Raw Data 3Y'!F18)^(1/3)-1)*100,"")</f>
        <v/>
      </c>
      <c r="G12" s="3">
        <f>IFERROR((('Raw Data 3Y'!I18/'Raw Data 3Y'!H18)^(1/3)-1)*100,"")</f>
        <v/>
      </c>
      <c r="H12" s="3">
        <f>IFERROR((('Raw Data 3Y'!K18/'Raw Data 3Y'!J18)^(1/3)-1)*100,"")</f>
        <v/>
      </c>
      <c r="I12" s="3">
        <f>IFERROR((('Raw Data 3Y'!M18/'Raw Data 3Y'!L18)^(1/3)-1)*100,"")</f>
        <v/>
      </c>
      <c r="J12" s="3">
        <f>IFERROR((('Raw Data 3Y'!O18/'Raw Data 3Y'!N18)^(1/3)-1)*100,"")</f>
        <v/>
      </c>
      <c r="K12" s="3">
        <f>IFERROR((('Raw Data 3Y'!Q18/'Raw Data 3Y'!P18)^(1/3)-1)*100,"")</f>
        <v/>
      </c>
      <c r="L12" s="3">
        <f>IFERROR((('Raw Data 3Y'!S18/'Raw Data 3Y'!R18)^(1/3)-1)*100,"")</f>
        <v/>
      </c>
      <c r="M12" s="3">
        <f>IFERROR((('Raw Data 3Y'!U18/'Raw Data 3Y'!T18)^(1/3)-1)*100,"")</f>
        <v/>
      </c>
      <c r="N12" s="3">
        <f>IFERROR((('Raw Data 3Y'!W18/'Raw Data 3Y'!V18)^(1/3)-1)*100,"")</f>
        <v/>
      </c>
      <c r="O12" s="3">
        <f>IFERROR((('Raw Data 3Y'!Y18/'Raw Data 3Y'!X18)^(1/3)-1)*100,"")</f>
        <v/>
      </c>
      <c r="P12" s="3">
        <f>IFERROR((('Raw Data 3Y'!AA18/'Raw Data 3Y'!Z18)^(1/3)-1)*100,"")</f>
        <v/>
      </c>
      <c r="Q12" s="3">
        <f>IFERROR((('Raw Data 3Y'!AC18/'Raw Data 3Y'!AB18)^(1/3)-1)*100,"")</f>
        <v/>
      </c>
      <c r="R12" s="3">
        <f>IFERROR((('Raw Data 3Y'!AE18/'Raw Data 3Y'!AD18)^(1/3)-1)*100,"")</f>
        <v/>
      </c>
      <c r="S12" s="3">
        <f>IFERROR((('Raw Data 3Y'!AG18/'Raw Data 3Y'!AF18)^(1/3)-1)*100,"")</f>
        <v/>
      </c>
      <c r="T12" s="3">
        <f>IFERROR((('Raw Data 3Y'!AI18/'Raw Data 3Y'!AH18)^(1/3)-1)*100,"")</f>
        <v/>
      </c>
      <c r="U12" s="3">
        <f>IFERROR((('Raw Data 3Y'!AK18/'Raw Data 3Y'!AJ18)^(1/3)-1)*100,"")</f>
        <v/>
      </c>
      <c r="V12" s="3">
        <f>IFERROR((('Raw Data 3Y'!AM18/'Raw Data 3Y'!AL18)^(1/3)-1)*100,"")</f>
        <v/>
      </c>
      <c r="W12" s="3">
        <f>IFERROR((('Raw Data 3Y'!AO18/'Raw Data 3Y'!AN18)^(1/3)-1)*100,"")</f>
        <v/>
      </c>
      <c r="X12" s="3">
        <f>IF(AND(ISNUMBER(F12),COUNT(F$2:F$46)&gt;=4),IF(F12&gt;=QUARTILE(F$2:F$46,3),1,0),0)+IF(AND(ISNUMBER(G12),COUNT(G$2:G$46)&gt;=4),IF(G12&gt;=QUARTILE(G$2:G$46,3),1,0),0)+IF(AND(ISNUMBER(H12),COUNT(H$2:H$46)&gt;=4),IF(H12&gt;=QUARTILE(H$2:H$46,3),1,0),0)+IF(AND(ISNUMBER(I12),COUNT(I$2:I$46)&gt;=4),IF(I12&gt;=QUARTILE(I$2:I$46,3),1,0),0)+IF(AND(ISNUMBER(J12),COUNT(J$2:J$46)&gt;=4),IF(J12&gt;=QUARTILE(J$2:J$46,3),1,0),0)+IF(AND(ISNUMBER(K12),COUNT(K$2:K$46)&gt;=4),IF(K12&gt;=QUARTILE(K$2:K$46,3),1,0),0)+IF(AND(ISNUMBER(L12),COUNT(L$2:L$46)&gt;=4),IF(L12&gt;=QUARTILE(L$2:L$46,3),1,0),0)+IF(AND(ISNUMBER(M12),COUNT(M$2:M$46)&gt;=4),IF(M12&gt;=QUARTILE(M$2:M$46,3),1,0),0)+IF(AND(ISNUMBER(N12),COUNT(N$2:N$46)&gt;=4),IF(N12&gt;=QUARTILE(N$2:N$46,3),1,0),0)+IF(AND(ISNUMBER(O12),COUNT(O$2:O$46)&gt;=4),IF(O12&gt;=QUARTILE(O$2:O$46,3),1,0),0)+IF(AND(ISNUMBER(P12),COUNT(P$2:P$46)&gt;=4),IF(P12&gt;=QUARTILE(P$2:P$46,3),1,0),0)+IF(AND(ISNUMBER(Q12),COUNT(Q$2:Q$46)&gt;=4),IF(Q12&gt;=QUARTILE(Q$2:Q$46,3),1,0),0)+IF(AND(ISNUMBER(R12),COUNT(R$2:R$46)&gt;=4),IF(R12&gt;=QUARTILE(R$2:R$46,3),1,0),0)+IF(AND(ISNUMBER(S12),COUNT(S$2:S$46)&gt;=4),IF(S12&gt;=QUARTILE(S$2:S$46,3),1,0),0)+IF(AND(ISNUMBER(T12),COUNT(T$2:T$46)&gt;=4),IF(T12&gt;=QUARTILE(T$2:T$46,3),1,0),0)+IF(AND(ISNUMBER(U12),COUNT(U$2:U$46)&gt;=4),IF(U12&gt;=QUARTILE(U$2:U$46,3),1,0),0)+IF(AND(ISNUMBER(V12),COUNT(V$2:V$46)&gt;=4),IF(V12&gt;=QUARTILE(V$2:V$46,3),1,0),0)+IF(AND(ISNUMBER(W12),COUNT(W$2:W$46)&gt;=4),IF(W12&gt;=QUARTILE(W$2:W$46,3),1,0),0)</f>
        <v/>
      </c>
      <c r="Y12" s="3">
        <f>IF(AND(ISNUMBER(F12),COUNT(F$2:F$46)&gt;=4),IF(F12&lt;=QUARTILE(F$2:F$46,1),1,0),0)+IF(AND(ISNUMBER(G12),COUNT(G$2:G$46)&gt;=4),IF(G12&lt;=QUARTILE(G$2:G$46,1),1,0),0)+IF(AND(ISNUMBER(H12),COUNT(H$2:H$46)&gt;=4),IF(H12&lt;=QUARTILE(H$2:H$46,1),1,0),0)+IF(AND(ISNUMBER(I12),COUNT(I$2:I$46)&gt;=4),IF(I12&lt;=QUARTILE(I$2:I$46,1),1,0),0)+IF(AND(ISNUMBER(J12),COUNT(J$2:J$46)&gt;=4),IF(J12&lt;=QUARTILE(J$2:J$46,1),1,0),0)+IF(AND(ISNUMBER(K12),COUNT(K$2:K$46)&gt;=4),IF(K12&lt;=QUARTILE(K$2:K$46,1),1,0),0)+IF(AND(ISNUMBER(L12),COUNT(L$2:L$46)&gt;=4),IF(L12&lt;=QUARTILE(L$2:L$46,1),1,0),0)+IF(AND(ISNUMBER(M12),COUNT(M$2:M$46)&gt;=4),IF(M12&lt;=QUARTILE(M$2:M$46,1),1,0),0)+IF(AND(ISNUMBER(N12),COUNT(N$2:N$46)&gt;=4),IF(N12&lt;=QUARTILE(N$2:N$46,1),1,0),0)+IF(AND(ISNUMBER(O12),COUNT(O$2:O$46)&gt;=4),IF(O12&lt;=QUARTILE(O$2:O$46,1),1,0),0)+IF(AND(ISNUMBER(P12),COUNT(P$2:P$46)&gt;=4),IF(P12&lt;=QUARTILE(P$2:P$46,1),1,0),0)+IF(AND(ISNUMBER(Q12),COUNT(Q$2:Q$46)&gt;=4),IF(Q12&lt;=QUARTILE(Q$2:Q$46,1),1,0),0)+IF(AND(ISNUMBER(R12),COUNT(R$2:R$46)&gt;=4),IF(R12&lt;=QUARTILE(R$2:R$46,1),1,0),0)+IF(AND(ISNUMBER(S12),COUNT(S$2:S$46)&gt;=4),IF(S12&lt;=QUARTILE(S$2:S$46,1),1,0),0)+IF(AND(ISNUMBER(T12),COUNT(T$2:T$46)&gt;=4),IF(T12&lt;=QUARTILE(T$2:T$46,1),1,0),0)+IF(AND(ISNUMBER(U12),COUNT(U$2:U$46)&gt;=4),IF(U12&lt;=QUARTILE(U$2:U$46,1),1,0),0)+IF(AND(ISNUMBER(V12),COUNT(V$2:V$46)&gt;=4),IF(V12&lt;=QUARTILE(V$2:V$46,1),1,0),0)+IF(AND(ISNUMBER(W12),COUNT(W$2:W$46)&gt;=4),IF(W12&lt;=QUARTILE(W$2:W$46,1),1,0),0)</f>
        <v/>
      </c>
      <c r="Z12" s="3">
        <f>IF(Y12=0,X12,ROUND(X12/Y12,2))</f>
        <v/>
      </c>
      <c r="AA12" s="3">
        <f>IFERROR(IF(VLOOKUP(A12,'Raw Data 3Y'!A:AP,42,FALSE)="","none",VLOOKUP(A12,'Raw Data 3Y'!A:AP,42,FALSE)),"none")</f>
        <v/>
      </c>
      <c r="AB12" s="4" t="inlineStr">
        <is>
          <t>Source</t>
        </is>
      </c>
    </row>
    <row r="13">
      <c r="A13">
        <f>'Raw Data 3Y'!A20</f>
        <v/>
      </c>
      <c r="B13" s="3">
        <f>IFERROR((('Raw Data 3Y'!C20/'Raw Data 3Y'!B20)^(1/'Raw Data 3Y'!D20)-1)*100,"")</f>
        <v/>
      </c>
      <c r="C13" s="3">
        <f>'Raw Data 3Y'!E20</f>
        <v/>
      </c>
      <c r="D13" s="3">
        <f>INT('Raw Data 3Y'!D20)</f>
        <v/>
      </c>
      <c r="E13" s="3">
        <f>IFERROR(AVERAGE(F13:W13),"")</f>
        <v/>
      </c>
      <c r="F13" s="3">
        <f>IFERROR((('Raw Data 3Y'!G20/'Raw Data 3Y'!F20)^(1/3)-1)*100,"")</f>
        <v/>
      </c>
      <c r="G13" s="3">
        <f>IFERROR((('Raw Data 3Y'!I20/'Raw Data 3Y'!H20)^(1/3)-1)*100,"")</f>
        <v/>
      </c>
      <c r="H13" s="3">
        <f>IFERROR((('Raw Data 3Y'!K20/'Raw Data 3Y'!J20)^(1/3)-1)*100,"")</f>
        <v/>
      </c>
      <c r="I13" s="3">
        <f>IFERROR((('Raw Data 3Y'!M20/'Raw Data 3Y'!L20)^(1/3)-1)*100,"")</f>
        <v/>
      </c>
      <c r="J13" s="3">
        <f>IFERROR((('Raw Data 3Y'!O20/'Raw Data 3Y'!N20)^(1/3)-1)*100,"")</f>
        <v/>
      </c>
      <c r="K13" s="3">
        <f>IFERROR((('Raw Data 3Y'!Q20/'Raw Data 3Y'!P20)^(1/3)-1)*100,"")</f>
        <v/>
      </c>
      <c r="L13" s="3">
        <f>IFERROR((('Raw Data 3Y'!S20/'Raw Data 3Y'!R20)^(1/3)-1)*100,"")</f>
        <v/>
      </c>
      <c r="M13" s="3">
        <f>IFERROR((('Raw Data 3Y'!U20/'Raw Data 3Y'!T20)^(1/3)-1)*100,"")</f>
        <v/>
      </c>
      <c r="N13" s="3">
        <f>IFERROR((('Raw Data 3Y'!W20/'Raw Data 3Y'!V20)^(1/3)-1)*100,"")</f>
        <v/>
      </c>
      <c r="O13" s="3">
        <f>IFERROR((('Raw Data 3Y'!Y20/'Raw Data 3Y'!X20)^(1/3)-1)*100,"")</f>
        <v/>
      </c>
      <c r="P13" s="3">
        <f>IFERROR((('Raw Data 3Y'!AA20/'Raw Data 3Y'!Z20)^(1/3)-1)*100,"")</f>
        <v/>
      </c>
      <c r="Q13" s="3">
        <f>IFERROR((('Raw Data 3Y'!AC20/'Raw Data 3Y'!AB20)^(1/3)-1)*100,"")</f>
        <v/>
      </c>
      <c r="R13" s="3">
        <f>IFERROR((('Raw Data 3Y'!AE20/'Raw Data 3Y'!AD20)^(1/3)-1)*100,"")</f>
        <v/>
      </c>
      <c r="S13" s="3">
        <f>IFERROR((('Raw Data 3Y'!AG20/'Raw Data 3Y'!AF20)^(1/3)-1)*100,"")</f>
        <v/>
      </c>
      <c r="T13" s="3">
        <f>IFERROR((('Raw Data 3Y'!AI20/'Raw Data 3Y'!AH20)^(1/3)-1)*100,"")</f>
        <v/>
      </c>
      <c r="U13" s="3">
        <f>IFERROR((('Raw Data 3Y'!AK20/'Raw Data 3Y'!AJ20)^(1/3)-1)*100,"")</f>
        <v/>
      </c>
      <c r="V13" s="3">
        <f>IFERROR((('Raw Data 3Y'!AM20/'Raw Data 3Y'!AL20)^(1/3)-1)*100,"")</f>
        <v/>
      </c>
      <c r="W13" s="3">
        <f>IFERROR((('Raw Data 3Y'!AO20/'Raw Data 3Y'!AN20)^(1/3)-1)*100,"")</f>
        <v/>
      </c>
      <c r="X13" s="3">
        <f>IF(AND(ISNUMBER(F13),COUNT(F$2:F$46)&gt;=4),IF(F13&gt;=QUARTILE(F$2:F$46,3),1,0),0)+IF(AND(ISNUMBER(G13),COUNT(G$2:G$46)&gt;=4),IF(G13&gt;=QUARTILE(G$2:G$46,3),1,0),0)+IF(AND(ISNUMBER(H13),COUNT(H$2:H$46)&gt;=4),IF(H13&gt;=QUARTILE(H$2:H$46,3),1,0),0)+IF(AND(ISNUMBER(I13),COUNT(I$2:I$46)&gt;=4),IF(I13&gt;=QUARTILE(I$2:I$46,3),1,0),0)+IF(AND(ISNUMBER(J13),COUNT(J$2:J$46)&gt;=4),IF(J13&gt;=QUARTILE(J$2:J$46,3),1,0),0)+IF(AND(ISNUMBER(K13),COUNT(K$2:K$46)&gt;=4),IF(K13&gt;=QUARTILE(K$2:K$46,3),1,0),0)+IF(AND(ISNUMBER(L13),COUNT(L$2:L$46)&gt;=4),IF(L13&gt;=QUARTILE(L$2:L$46,3),1,0),0)+IF(AND(ISNUMBER(M13),COUNT(M$2:M$46)&gt;=4),IF(M13&gt;=QUARTILE(M$2:M$46,3),1,0),0)+IF(AND(ISNUMBER(N13),COUNT(N$2:N$46)&gt;=4),IF(N13&gt;=QUARTILE(N$2:N$46,3),1,0),0)+IF(AND(ISNUMBER(O13),COUNT(O$2:O$46)&gt;=4),IF(O13&gt;=QUARTILE(O$2:O$46,3),1,0),0)+IF(AND(ISNUMBER(P13),COUNT(P$2:P$46)&gt;=4),IF(P13&gt;=QUARTILE(P$2:P$46,3),1,0),0)+IF(AND(ISNUMBER(Q13),COUNT(Q$2:Q$46)&gt;=4),IF(Q13&gt;=QUARTILE(Q$2:Q$46,3),1,0),0)+IF(AND(ISNUMBER(R13),COUNT(R$2:R$46)&gt;=4),IF(R13&gt;=QUARTILE(R$2:R$46,3),1,0),0)+IF(AND(ISNUMBER(S13),COUNT(S$2:S$46)&gt;=4),IF(S13&gt;=QUARTILE(S$2:S$46,3),1,0),0)+IF(AND(ISNUMBER(T13),COUNT(T$2:T$46)&gt;=4),IF(T13&gt;=QUARTILE(T$2:T$46,3),1,0),0)+IF(AND(ISNUMBER(U13),COUNT(U$2:U$46)&gt;=4),IF(U13&gt;=QUARTILE(U$2:U$46,3),1,0),0)+IF(AND(ISNUMBER(V13),COUNT(V$2:V$46)&gt;=4),IF(V13&gt;=QUARTILE(V$2:V$46,3),1,0),0)+IF(AND(ISNUMBER(W13),COUNT(W$2:W$46)&gt;=4),IF(W13&gt;=QUARTILE(W$2:W$46,3),1,0),0)</f>
        <v/>
      </c>
      <c r="Y13" s="3">
        <f>IF(AND(ISNUMBER(F13),COUNT(F$2:F$46)&gt;=4),IF(F13&lt;=QUARTILE(F$2:F$46,1),1,0),0)+IF(AND(ISNUMBER(G13),COUNT(G$2:G$46)&gt;=4),IF(G13&lt;=QUARTILE(G$2:G$46,1),1,0),0)+IF(AND(ISNUMBER(H13),COUNT(H$2:H$46)&gt;=4),IF(H13&lt;=QUARTILE(H$2:H$46,1),1,0),0)+IF(AND(ISNUMBER(I13),COUNT(I$2:I$46)&gt;=4),IF(I13&lt;=QUARTILE(I$2:I$46,1),1,0),0)+IF(AND(ISNUMBER(J13),COUNT(J$2:J$46)&gt;=4),IF(J13&lt;=QUARTILE(J$2:J$46,1),1,0),0)+IF(AND(ISNUMBER(K13),COUNT(K$2:K$46)&gt;=4),IF(K13&lt;=QUARTILE(K$2:K$46,1),1,0),0)+IF(AND(ISNUMBER(L13),COUNT(L$2:L$46)&gt;=4),IF(L13&lt;=QUARTILE(L$2:L$46,1),1,0),0)+IF(AND(ISNUMBER(M13),COUNT(M$2:M$46)&gt;=4),IF(M13&lt;=QUARTILE(M$2:M$46,1),1,0),0)+IF(AND(ISNUMBER(N13),COUNT(N$2:N$46)&gt;=4),IF(N13&lt;=QUARTILE(N$2:N$46,1),1,0),0)+IF(AND(ISNUMBER(O13),COUNT(O$2:O$46)&gt;=4),IF(O13&lt;=QUARTILE(O$2:O$46,1),1,0),0)+IF(AND(ISNUMBER(P13),COUNT(P$2:P$46)&gt;=4),IF(P13&lt;=QUARTILE(P$2:P$46,1),1,0),0)+IF(AND(ISNUMBER(Q13),COUNT(Q$2:Q$46)&gt;=4),IF(Q13&lt;=QUARTILE(Q$2:Q$46,1),1,0),0)+IF(AND(ISNUMBER(R13),COUNT(R$2:R$46)&gt;=4),IF(R13&lt;=QUARTILE(R$2:R$46,1),1,0),0)+IF(AND(ISNUMBER(S13),COUNT(S$2:S$46)&gt;=4),IF(S13&lt;=QUARTILE(S$2:S$46,1),1,0),0)+IF(AND(ISNUMBER(T13),COUNT(T$2:T$46)&gt;=4),IF(T13&lt;=QUARTILE(T$2:T$46,1),1,0),0)+IF(AND(ISNUMBER(U13),COUNT(U$2:U$46)&gt;=4),IF(U13&lt;=QUARTILE(U$2:U$46,1),1,0),0)+IF(AND(ISNUMBER(V13),COUNT(V$2:V$46)&gt;=4),IF(V13&lt;=QUARTILE(V$2:V$46,1),1,0),0)+IF(AND(ISNUMBER(W13),COUNT(W$2:W$46)&gt;=4),IF(W13&lt;=QUARTILE(W$2:W$46,1),1,0),0)</f>
        <v/>
      </c>
      <c r="Z13" s="3">
        <f>IF(Y13=0,X13,ROUND(X13/Y13,2))</f>
        <v/>
      </c>
      <c r="AA13" s="3">
        <f>IFERROR(IF(VLOOKUP(A13,'Raw Data 3Y'!A:AP,42,FALSE)="","none",VLOOKUP(A13,'Raw Data 3Y'!A:AP,42,FALSE)),"none")</f>
        <v/>
      </c>
      <c r="AB13" s="4" t="inlineStr">
        <is>
          <t>Source</t>
        </is>
      </c>
    </row>
    <row r="14">
      <c r="A14">
        <f>'Raw Data 3Y'!A45</f>
        <v/>
      </c>
      <c r="B14" s="3">
        <f>IFERROR((('Raw Data 3Y'!C45/'Raw Data 3Y'!B45)^(1/'Raw Data 3Y'!D45)-1)*100,"")</f>
        <v/>
      </c>
      <c r="C14" s="3">
        <f>'Raw Data 3Y'!E45</f>
        <v/>
      </c>
      <c r="D14" s="3">
        <f>INT('Raw Data 3Y'!D45)</f>
        <v/>
      </c>
      <c r="E14" s="3">
        <f>IFERROR(AVERAGE(F14:W14),"")</f>
        <v/>
      </c>
      <c r="F14" s="3">
        <f>IFERROR((('Raw Data 3Y'!G45/'Raw Data 3Y'!F45)^(1/3)-1)*100,"")</f>
        <v/>
      </c>
      <c r="G14" s="3">
        <f>IFERROR((('Raw Data 3Y'!I45/'Raw Data 3Y'!H45)^(1/3)-1)*100,"")</f>
        <v/>
      </c>
      <c r="H14" s="3">
        <f>IFERROR((('Raw Data 3Y'!K45/'Raw Data 3Y'!J45)^(1/3)-1)*100,"")</f>
        <v/>
      </c>
      <c r="I14" s="3">
        <f>IFERROR((('Raw Data 3Y'!M45/'Raw Data 3Y'!L45)^(1/3)-1)*100,"")</f>
        <v/>
      </c>
      <c r="J14" s="3">
        <f>IFERROR((('Raw Data 3Y'!O45/'Raw Data 3Y'!N45)^(1/3)-1)*100,"")</f>
        <v/>
      </c>
      <c r="K14" s="3">
        <f>IFERROR((('Raw Data 3Y'!Q45/'Raw Data 3Y'!P45)^(1/3)-1)*100,"")</f>
        <v/>
      </c>
      <c r="L14" s="3">
        <f>IFERROR((('Raw Data 3Y'!S45/'Raw Data 3Y'!R45)^(1/3)-1)*100,"")</f>
        <v/>
      </c>
      <c r="M14" s="3">
        <f>IFERROR((('Raw Data 3Y'!U45/'Raw Data 3Y'!T45)^(1/3)-1)*100,"")</f>
        <v/>
      </c>
      <c r="N14" s="3">
        <f>IFERROR((('Raw Data 3Y'!W45/'Raw Data 3Y'!V45)^(1/3)-1)*100,"")</f>
        <v/>
      </c>
      <c r="O14" s="3">
        <f>IFERROR((('Raw Data 3Y'!Y45/'Raw Data 3Y'!X45)^(1/3)-1)*100,"")</f>
        <v/>
      </c>
      <c r="P14" s="3">
        <f>IFERROR((('Raw Data 3Y'!AA45/'Raw Data 3Y'!Z45)^(1/3)-1)*100,"")</f>
        <v/>
      </c>
      <c r="Q14" s="3">
        <f>IFERROR((('Raw Data 3Y'!AC45/'Raw Data 3Y'!AB45)^(1/3)-1)*100,"")</f>
        <v/>
      </c>
      <c r="R14" s="3">
        <f>IFERROR((('Raw Data 3Y'!AE45/'Raw Data 3Y'!AD45)^(1/3)-1)*100,"")</f>
        <v/>
      </c>
      <c r="S14" s="3">
        <f>IFERROR((('Raw Data 3Y'!AG45/'Raw Data 3Y'!AF45)^(1/3)-1)*100,"")</f>
        <v/>
      </c>
      <c r="T14" s="3">
        <f>IFERROR((('Raw Data 3Y'!AI45/'Raw Data 3Y'!AH45)^(1/3)-1)*100,"")</f>
        <v/>
      </c>
      <c r="U14" s="3">
        <f>IFERROR((('Raw Data 3Y'!AK45/'Raw Data 3Y'!AJ45)^(1/3)-1)*100,"")</f>
        <v/>
      </c>
      <c r="V14" s="3">
        <f>IFERROR((('Raw Data 3Y'!AM45/'Raw Data 3Y'!AL45)^(1/3)-1)*100,"")</f>
        <v/>
      </c>
      <c r="W14" s="3">
        <f>IFERROR((('Raw Data 3Y'!AO45/'Raw Data 3Y'!AN45)^(1/3)-1)*100,"")</f>
        <v/>
      </c>
      <c r="X14" s="3">
        <f>IF(AND(ISNUMBER(F14),COUNT(F$2:F$46)&gt;=4),IF(F14&gt;=QUARTILE(F$2:F$46,3),1,0),0)+IF(AND(ISNUMBER(G14),COUNT(G$2:G$46)&gt;=4),IF(G14&gt;=QUARTILE(G$2:G$46,3),1,0),0)+IF(AND(ISNUMBER(H14),COUNT(H$2:H$46)&gt;=4),IF(H14&gt;=QUARTILE(H$2:H$46,3),1,0),0)+IF(AND(ISNUMBER(I14),COUNT(I$2:I$46)&gt;=4),IF(I14&gt;=QUARTILE(I$2:I$46,3),1,0),0)+IF(AND(ISNUMBER(J14),COUNT(J$2:J$46)&gt;=4),IF(J14&gt;=QUARTILE(J$2:J$46,3),1,0),0)+IF(AND(ISNUMBER(K14),COUNT(K$2:K$46)&gt;=4),IF(K14&gt;=QUARTILE(K$2:K$46,3),1,0),0)+IF(AND(ISNUMBER(L14),COUNT(L$2:L$46)&gt;=4),IF(L14&gt;=QUARTILE(L$2:L$46,3),1,0),0)+IF(AND(ISNUMBER(M14),COUNT(M$2:M$46)&gt;=4),IF(M14&gt;=QUARTILE(M$2:M$46,3),1,0),0)+IF(AND(ISNUMBER(N14),COUNT(N$2:N$46)&gt;=4),IF(N14&gt;=QUARTILE(N$2:N$46,3),1,0),0)+IF(AND(ISNUMBER(O14),COUNT(O$2:O$46)&gt;=4),IF(O14&gt;=QUARTILE(O$2:O$46,3),1,0),0)+IF(AND(ISNUMBER(P14),COUNT(P$2:P$46)&gt;=4),IF(P14&gt;=QUARTILE(P$2:P$46,3),1,0),0)+IF(AND(ISNUMBER(Q14),COUNT(Q$2:Q$46)&gt;=4),IF(Q14&gt;=QUARTILE(Q$2:Q$46,3),1,0),0)+IF(AND(ISNUMBER(R14),COUNT(R$2:R$46)&gt;=4),IF(R14&gt;=QUARTILE(R$2:R$46,3),1,0),0)+IF(AND(ISNUMBER(S14),COUNT(S$2:S$46)&gt;=4),IF(S14&gt;=QUARTILE(S$2:S$46,3),1,0),0)+IF(AND(ISNUMBER(T14),COUNT(T$2:T$46)&gt;=4),IF(T14&gt;=QUARTILE(T$2:T$46,3),1,0),0)+IF(AND(ISNUMBER(U14),COUNT(U$2:U$46)&gt;=4),IF(U14&gt;=QUARTILE(U$2:U$46,3),1,0),0)+IF(AND(ISNUMBER(V14),COUNT(V$2:V$46)&gt;=4),IF(V14&gt;=QUARTILE(V$2:V$46,3),1,0),0)+IF(AND(ISNUMBER(W14),COUNT(W$2:W$46)&gt;=4),IF(W14&gt;=QUARTILE(W$2:W$46,3),1,0),0)</f>
        <v/>
      </c>
      <c r="Y14" s="3">
        <f>IF(AND(ISNUMBER(F14),COUNT(F$2:F$46)&gt;=4),IF(F14&lt;=QUARTILE(F$2:F$46,1),1,0),0)+IF(AND(ISNUMBER(G14),COUNT(G$2:G$46)&gt;=4),IF(G14&lt;=QUARTILE(G$2:G$46,1),1,0),0)+IF(AND(ISNUMBER(H14),COUNT(H$2:H$46)&gt;=4),IF(H14&lt;=QUARTILE(H$2:H$46,1),1,0),0)+IF(AND(ISNUMBER(I14),COUNT(I$2:I$46)&gt;=4),IF(I14&lt;=QUARTILE(I$2:I$46,1),1,0),0)+IF(AND(ISNUMBER(J14),COUNT(J$2:J$46)&gt;=4),IF(J14&lt;=QUARTILE(J$2:J$46,1),1,0),0)+IF(AND(ISNUMBER(K14),COUNT(K$2:K$46)&gt;=4),IF(K14&lt;=QUARTILE(K$2:K$46,1),1,0),0)+IF(AND(ISNUMBER(L14),COUNT(L$2:L$46)&gt;=4),IF(L14&lt;=QUARTILE(L$2:L$46,1),1,0),0)+IF(AND(ISNUMBER(M14),COUNT(M$2:M$46)&gt;=4),IF(M14&lt;=QUARTILE(M$2:M$46,1),1,0),0)+IF(AND(ISNUMBER(N14),COUNT(N$2:N$46)&gt;=4),IF(N14&lt;=QUARTILE(N$2:N$46,1),1,0),0)+IF(AND(ISNUMBER(O14),COUNT(O$2:O$46)&gt;=4),IF(O14&lt;=QUARTILE(O$2:O$46,1),1,0),0)+IF(AND(ISNUMBER(P14),COUNT(P$2:P$46)&gt;=4),IF(P14&lt;=QUARTILE(P$2:P$46,1),1,0),0)+IF(AND(ISNUMBER(Q14),COUNT(Q$2:Q$46)&gt;=4),IF(Q14&lt;=QUARTILE(Q$2:Q$46,1),1,0),0)+IF(AND(ISNUMBER(R14),COUNT(R$2:R$46)&gt;=4),IF(R14&lt;=QUARTILE(R$2:R$46,1),1,0),0)+IF(AND(ISNUMBER(S14),COUNT(S$2:S$46)&gt;=4),IF(S14&lt;=QUARTILE(S$2:S$46,1),1,0),0)+IF(AND(ISNUMBER(T14),COUNT(T$2:T$46)&gt;=4),IF(T14&lt;=QUARTILE(T$2:T$46,1),1,0),0)+IF(AND(ISNUMBER(U14),COUNT(U$2:U$46)&gt;=4),IF(U14&lt;=QUARTILE(U$2:U$46,1),1,0),0)+IF(AND(ISNUMBER(V14),COUNT(V$2:V$46)&gt;=4),IF(V14&lt;=QUARTILE(V$2:V$46,1),1,0),0)+IF(AND(ISNUMBER(W14),COUNT(W$2:W$46)&gt;=4),IF(W14&lt;=QUARTILE(W$2:W$46,1),1,0),0)</f>
        <v/>
      </c>
      <c r="Z14" s="3">
        <f>IF(Y14=0,X14,ROUND(X14/Y14,2))</f>
        <v/>
      </c>
      <c r="AA14" s="3">
        <f>IFERROR(IF(VLOOKUP(A14,'Raw Data 3Y'!A:AP,42,FALSE)="","none",VLOOKUP(A14,'Raw Data 3Y'!A:AP,42,FALSE)),"none")</f>
        <v/>
      </c>
      <c r="AB14" s="4" t="inlineStr">
        <is>
          <t>Source</t>
        </is>
      </c>
    </row>
    <row r="15">
      <c r="A15">
        <f>'Raw Data 3Y'!A46</f>
        <v/>
      </c>
      <c r="B15" s="3">
        <f>IFERROR((('Raw Data 3Y'!C46/'Raw Data 3Y'!B46)^(1/'Raw Data 3Y'!D46)-1)*100,"")</f>
        <v/>
      </c>
      <c r="C15" s="3">
        <f>'Raw Data 3Y'!E46</f>
        <v/>
      </c>
      <c r="D15" s="3">
        <f>INT('Raw Data 3Y'!D46)</f>
        <v/>
      </c>
      <c r="E15" s="3">
        <f>IFERROR(AVERAGE(F15:W15),"")</f>
        <v/>
      </c>
      <c r="F15" s="3">
        <f>IFERROR((('Raw Data 3Y'!G46/'Raw Data 3Y'!F46)^(1/3)-1)*100,"")</f>
        <v/>
      </c>
      <c r="G15" s="3">
        <f>IFERROR((('Raw Data 3Y'!I46/'Raw Data 3Y'!H46)^(1/3)-1)*100,"")</f>
        <v/>
      </c>
      <c r="H15" s="3">
        <f>IFERROR((('Raw Data 3Y'!K46/'Raw Data 3Y'!J46)^(1/3)-1)*100,"")</f>
        <v/>
      </c>
      <c r="I15" s="3">
        <f>IFERROR((('Raw Data 3Y'!M46/'Raw Data 3Y'!L46)^(1/3)-1)*100,"")</f>
        <v/>
      </c>
      <c r="J15" s="3">
        <f>IFERROR((('Raw Data 3Y'!O46/'Raw Data 3Y'!N46)^(1/3)-1)*100,"")</f>
        <v/>
      </c>
      <c r="K15" s="3">
        <f>IFERROR((('Raw Data 3Y'!Q46/'Raw Data 3Y'!P46)^(1/3)-1)*100,"")</f>
        <v/>
      </c>
      <c r="L15" s="3">
        <f>IFERROR((('Raw Data 3Y'!S46/'Raw Data 3Y'!R46)^(1/3)-1)*100,"")</f>
        <v/>
      </c>
      <c r="M15" s="3">
        <f>IFERROR((('Raw Data 3Y'!U46/'Raw Data 3Y'!T46)^(1/3)-1)*100,"")</f>
        <v/>
      </c>
      <c r="N15" s="3">
        <f>IFERROR((('Raw Data 3Y'!W46/'Raw Data 3Y'!V46)^(1/3)-1)*100,"")</f>
        <v/>
      </c>
      <c r="O15" s="3">
        <f>IFERROR((('Raw Data 3Y'!Y46/'Raw Data 3Y'!X46)^(1/3)-1)*100,"")</f>
        <v/>
      </c>
      <c r="P15" s="3">
        <f>IFERROR((('Raw Data 3Y'!AA46/'Raw Data 3Y'!Z46)^(1/3)-1)*100,"")</f>
        <v/>
      </c>
      <c r="Q15" s="3">
        <f>IFERROR((('Raw Data 3Y'!AC46/'Raw Data 3Y'!AB46)^(1/3)-1)*100,"")</f>
        <v/>
      </c>
      <c r="R15" s="3">
        <f>IFERROR((('Raw Data 3Y'!AE46/'Raw Data 3Y'!AD46)^(1/3)-1)*100,"")</f>
        <v/>
      </c>
      <c r="S15" s="3">
        <f>IFERROR((('Raw Data 3Y'!AG46/'Raw Data 3Y'!AF46)^(1/3)-1)*100,"")</f>
        <v/>
      </c>
      <c r="T15" s="3">
        <f>IFERROR((('Raw Data 3Y'!AI46/'Raw Data 3Y'!AH46)^(1/3)-1)*100,"")</f>
        <v/>
      </c>
      <c r="U15" s="3">
        <f>IFERROR((('Raw Data 3Y'!AK46/'Raw Data 3Y'!AJ46)^(1/3)-1)*100,"")</f>
        <v/>
      </c>
      <c r="V15" s="3">
        <f>IFERROR((('Raw Data 3Y'!AM46/'Raw Data 3Y'!AL46)^(1/3)-1)*100,"")</f>
        <v/>
      </c>
      <c r="W15" s="3">
        <f>IFERROR((('Raw Data 3Y'!AO46/'Raw Data 3Y'!AN46)^(1/3)-1)*100,"")</f>
        <v/>
      </c>
      <c r="X15" s="3">
        <f>IF(AND(ISNUMBER(F15),COUNT(F$2:F$46)&gt;=4),IF(F15&gt;=QUARTILE(F$2:F$46,3),1,0),0)+IF(AND(ISNUMBER(G15),COUNT(G$2:G$46)&gt;=4),IF(G15&gt;=QUARTILE(G$2:G$46,3),1,0),0)+IF(AND(ISNUMBER(H15),COUNT(H$2:H$46)&gt;=4),IF(H15&gt;=QUARTILE(H$2:H$46,3),1,0),0)+IF(AND(ISNUMBER(I15),COUNT(I$2:I$46)&gt;=4),IF(I15&gt;=QUARTILE(I$2:I$46,3),1,0),0)+IF(AND(ISNUMBER(J15),COUNT(J$2:J$46)&gt;=4),IF(J15&gt;=QUARTILE(J$2:J$46,3),1,0),0)+IF(AND(ISNUMBER(K15),COUNT(K$2:K$46)&gt;=4),IF(K15&gt;=QUARTILE(K$2:K$46,3),1,0),0)+IF(AND(ISNUMBER(L15),COUNT(L$2:L$46)&gt;=4),IF(L15&gt;=QUARTILE(L$2:L$46,3),1,0),0)+IF(AND(ISNUMBER(M15),COUNT(M$2:M$46)&gt;=4),IF(M15&gt;=QUARTILE(M$2:M$46,3),1,0),0)+IF(AND(ISNUMBER(N15),COUNT(N$2:N$46)&gt;=4),IF(N15&gt;=QUARTILE(N$2:N$46,3),1,0),0)+IF(AND(ISNUMBER(O15),COUNT(O$2:O$46)&gt;=4),IF(O15&gt;=QUARTILE(O$2:O$46,3),1,0),0)+IF(AND(ISNUMBER(P15),COUNT(P$2:P$46)&gt;=4),IF(P15&gt;=QUARTILE(P$2:P$46,3),1,0),0)+IF(AND(ISNUMBER(Q15),COUNT(Q$2:Q$46)&gt;=4),IF(Q15&gt;=QUARTILE(Q$2:Q$46,3),1,0),0)+IF(AND(ISNUMBER(R15),COUNT(R$2:R$46)&gt;=4),IF(R15&gt;=QUARTILE(R$2:R$46,3),1,0),0)+IF(AND(ISNUMBER(S15),COUNT(S$2:S$46)&gt;=4),IF(S15&gt;=QUARTILE(S$2:S$46,3),1,0),0)+IF(AND(ISNUMBER(T15),COUNT(T$2:T$46)&gt;=4),IF(T15&gt;=QUARTILE(T$2:T$46,3),1,0),0)+IF(AND(ISNUMBER(U15),COUNT(U$2:U$46)&gt;=4),IF(U15&gt;=QUARTILE(U$2:U$46,3),1,0),0)+IF(AND(ISNUMBER(V15),COUNT(V$2:V$46)&gt;=4),IF(V15&gt;=QUARTILE(V$2:V$46,3),1,0),0)+IF(AND(ISNUMBER(W15),COUNT(W$2:W$46)&gt;=4),IF(W15&gt;=QUARTILE(W$2:W$46,3),1,0),0)</f>
        <v/>
      </c>
      <c r="Y15" s="3">
        <f>IF(AND(ISNUMBER(F15),COUNT(F$2:F$46)&gt;=4),IF(F15&lt;=QUARTILE(F$2:F$46,1),1,0),0)+IF(AND(ISNUMBER(G15),COUNT(G$2:G$46)&gt;=4),IF(G15&lt;=QUARTILE(G$2:G$46,1),1,0),0)+IF(AND(ISNUMBER(H15),COUNT(H$2:H$46)&gt;=4),IF(H15&lt;=QUARTILE(H$2:H$46,1),1,0),0)+IF(AND(ISNUMBER(I15),COUNT(I$2:I$46)&gt;=4),IF(I15&lt;=QUARTILE(I$2:I$46,1),1,0),0)+IF(AND(ISNUMBER(J15),COUNT(J$2:J$46)&gt;=4),IF(J15&lt;=QUARTILE(J$2:J$46,1),1,0),0)+IF(AND(ISNUMBER(K15),COUNT(K$2:K$46)&gt;=4),IF(K15&lt;=QUARTILE(K$2:K$46,1),1,0),0)+IF(AND(ISNUMBER(L15),COUNT(L$2:L$46)&gt;=4),IF(L15&lt;=QUARTILE(L$2:L$46,1),1,0),0)+IF(AND(ISNUMBER(M15),COUNT(M$2:M$46)&gt;=4),IF(M15&lt;=QUARTILE(M$2:M$46,1),1,0),0)+IF(AND(ISNUMBER(N15),COUNT(N$2:N$46)&gt;=4),IF(N15&lt;=QUARTILE(N$2:N$46,1),1,0),0)+IF(AND(ISNUMBER(O15),COUNT(O$2:O$46)&gt;=4),IF(O15&lt;=QUARTILE(O$2:O$46,1),1,0),0)+IF(AND(ISNUMBER(P15),COUNT(P$2:P$46)&gt;=4),IF(P15&lt;=QUARTILE(P$2:P$46,1),1,0),0)+IF(AND(ISNUMBER(Q15),COUNT(Q$2:Q$46)&gt;=4),IF(Q15&lt;=QUARTILE(Q$2:Q$46,1),1,0),0)+IF(AND(ISNUMBER(R15),COUNT(R$2:R$46)&gt;=4),IF(R15&lt;=QUARTILE(R$2:R$46,1),1,0),0)+IF(AND(ISNUMBER(S15),COUNT(S$2:S$46)&gt;=4),IF(S15&lt;=QUARTILE(S$2:S$46,1),1,0),0)+IF(AND(ISNUMBER(T15),COUNT(T$2:T$46)&gt;=4),IF(T15&lt;=QUARTILE(T$2:T$46,1),1,0),0)+IF(AND(ISNUMBER(U15),COUNT(U$2:U$46)&gt;=4),IF(U15&lt;=QUARTILE(U$2:U$46,1),1,0),0)+IF(AND(ISNUMBER(V15),COUNT(V$2:V$46)&gt;=4),IF(V15&lt;=QUARTILE(V$2:V$46,1),1,0),0)+IF(AND(ISNUMBER(W15),COUNT(W$2:W$46)&gt;=4),IF(W15&lt;=QUARTILE(W$2:W$46,1),1,0),0)</f>
        <v/>
      </c>
      <c r="Z15" s="3">
        <f>IF(Y15=0,X15,ROUND(X15/Y15,2))</f>
        <v/>
      </c>
      <c r="AA15" s="3">
        <f>IFERROR(IF(VLOOKUP(A15,'Raw Data 3Y'!A:AP,42,FALSE)="","none",VLOOKUP(A15,'Raw Data 3Y'!A:AP,42,FALSE)),"none")</f>
        <v/>
      </c>
      <c r="AB15" s="4" t="inlineStr">
        <is>
          <t>Source</t>
        </is>
      </c>
    </row>
    <row r="16">
      <c r="A16">
        <f>'Raw Data 3Y'!A15</f>
        <v/>
      </c>
      <c r="B16" s="3">
        <f>IFERROR((('Raw Data 3Y'!C15/'Raw Data 3Y'!B15)^(1/'Raw Data 3Y'!D15)-1)*100,"")</f>
        <v/>
      </c>
      <c r="C16" s="3">
        <f>'Raw Data 3Y'!E15</f>
        <v/>
      </c>
      <c r="D16" s="3">
        <f>INT('Raw Data 3Y'!D15)</f>
        <v/>
      </c>
      <c r="E16" s="3">
        <f>IFERROR(AVERAGE(F16:W16),"")</f>
        <v/>
      </c>
      <c r="F16" s="3">
        <f>IFERROR((('Raw Data 3Y'!G15/'Raw Data 3Y'!F15)^(1/3)-1)*100,"")</f>
        <v/>
      </c>
      <c r="G16" s="3">
        <f>IFERROR((('Raw Data 3Y'!I15/'Raw Data 3Y'!H15)^(1/3)-1)*100,"")</f>
        <v/>
      </c>
      <c r="H16" s="3">
        <f>IFERROR((('Raw Data 3Y'!K15/'Raw Data 3Y'!J15)^(1/3)-1)*100,"")</f>
        <v/>
      </c>
      <c r="I16" s="3">
        <f>IFERROR((('Raw Data 3Y'!M15/'Raw Data 3Y'!L15)^(1/3)-1)*100,"")</f>
        <v/>
      </c>
      <c r="J16" s="3">
        <f>IFERROR((('Raw Data 3Y'!O15/'Raw Data 3Y'!N15)^(1/3)-1)*100,"")</f>
        <v/>
      </c>
      <c r="K16" s="3">
        <f>IFERROR((('Raw Data 3Y'!Q15/'Raw Data 3Y'!P15)^(1/3)-1)*100,"")</f>
        <v/>
      </c>
      <c r="L16" s="3">
        <f>IFERROR((('Raw Data 3Y'!S15/'Raw Data 3Y'!R15)^(1/3)-1)*100,"")</f>
        <v/>
      </c>
      <c r="M16" s="3">
        <f>IFERROR((('Raw Data 3Y'!U15/'Raw Data 3Y'!T15)^(1/3)-1)*100,"")</f>
        <v/>
      </c>
      <c r="N16" s="3">
        <f>IFERROR((('Raw Data 3Y'!W15/'Raw Data 3Y'!V15)^(1/3)-1)*100,"")</f>
        <v/>
      </c>
      <c r="O16" s="3">
        <f>IFERROR((('Raw Data 3Y'!Y15/'Raw Data 3Y'!X15)^(1/3)-1)*100,"")</f>
        <v/>
      </c>
      <c r="P16" s="3">
        <f>IFERROR((('Raw Data 3Y'!AA15/'Raw Data 3Y'!Z15)^(1/3)-1)*100,"")</f>
        <v/>
      </c>
      <c r="Q16" s="3">
        <f>IFERROR((('Raw Data 3Y'!AC15/'Raw Data 3Y'!AB15)^(1/3)-1)*100,"")</f>
        <v/>
      </c>
      <c r="R16" s="3">
        <f>IFERROR((('Raw Data 3Y'!AE15/'Raw Data 3Y'!AD15)^(1/3)-1)*100,"")</f>
        <v/>
      </c>
      <c r="S16" s="3">
        <f>IFERROR((('Raw Data 3Y'!AG15/'Raw Data 3Y'!AF15)^(1/3)-1)*100,"")</f>
        <v/>
      </c>
      <c r="T16" s="3">
        <f>IFERROR((('Raw Data 3Y'!AI15/'Raw Data 3Y'!AH15)^(1/3)-1)*100,"")</f>
        <v/>
      </c>
      <c r="U16" s="3">
        <f>IFERROR((('Raw Data 3Y'!AK15/'Raw Data 3Y'!AJ15)^(1/3)-1)*100,"")</f>
        <v/>
      </c>
      <c r="V16" s="3">
        <f>IFERROR((('Raw Data 3Y'!AM15/'Raw Data 3Y'!AL15)^(1/3)-1)*100,"")</f>
        <v/>
      </c>
      <c r="W16" s="3">
        <f>IFERROR((('Raw Data 3Y'!AO15/'Raw Data 3Y'!AN15)^(1/3)-1)*100,"")</f>
        <v/>
      </c>
      <c r="X16" s="3">
        <f>IF(AND(ISNUMBER(F16),COUNT(F$2:F$46)&gt;=4),IF(F16&gt;=QUARTILE(F$2:F$46,3),1,0),0)+IF(AND(ISNUMBER(G16),COUNT(G$2:G$46)&gt;=4),IF(G16&gt;=QUARTILE(G$2:G$46,3),1,0),0)+IF(AND(ISNUMBER(H16),COUNT(H$2:H$46)&gt;=4),IF(H16&gt;=QUARTILE(H$2:H$46,3),1,0),0)+IF(AND(ISNUMBER(I16),COUNT(I$2:I$46)&gt;=4),IF(I16&gt;=QUARTILE(I$2:I$46,3),1,0),0)+IF(AND(ISNUMBER(J16),COUNT(J$2:J$46)&gt;=4),IF(J16&gt;=QUARTILE(J$2:J$46,3),1,0),0)+IF(AND(ISNUMBER(K16),COUNT(K$2:K$46)&gt;=4),IF(K16&gt;=QUARTILE(K$2:K$46,3),1,0),0)+IF(AND(ISNUMBER(L16),COUNT(L$2:L$46)&gt;=4),IF(L16&gt;=QUARTILE(L$2:L$46,3),1,0),0)+IF(AND(ISNUMBER(M16),COUNT(M$2:M$46)&gt;=4),IF(M16&gt;=QUARTILE(M$2:M$46,3),1,0),0)+IF(AND(ISNUMBER(N16),COUNT(N$2:N$46)&gt;=4),IF(N16&gt;=QUARTILE(N$2:N$46,3),1,0),0)+IF(AND(ISNUMBER(O16),COUNT(O$2:O$46)&gt;=4),IF(O16&gt;=QUARTILE(O$2:O$46,3),1,0),0)+IF(AND(ISNUMBER(P16),COUNT(P$2:P$46)&gt;=4),IF(P16&gt;=QUARTILE(P$2:P$46,3),1,0),0)+IF(AND(ISNUMBER(Q16),COUNT(Q$2:Q$46)&gt;=4),IF(Q16&gt;=QUARTILE(Q$2:Q$46,3),1,0),0)+IF(AND(ISNUMBER(R16),COUNT(R$2:R$46)&gt;=4),IF(R16&gt;=QUARTILE(R$2:R$46,3),1,0),0)+IF(AND(ISNUMBER(S16),COUNT(S$2:S$46)&gt;=4),IF(S16&gt;=QUARTILE(S$2:S$46,3),1,0),0)+IF(AND(ISNUMBER(T16),COUNT(T$2:T$46)&gt;=4),IF(T16&gt;=QUARTILE(T$2:T$46,3),1,0),0)+IF(AND(ISNUMBER(U16),COUNT(U$2:U$46)&gt;=4),IF(U16&gt;=QUARTILE(U$2:U$46,3),1,0),0)+IF(AND(ISNUMBER(V16),COUNT(V$2:V$46)&gt;=4),IF(V16&gt;=QUARTILE(V$2:V$46,3),1,0),0)+IF(AND(ISNUMBER(W16),COUNT(W$2:W$46)&gt;=4),IF(W16&gt;=QUARTILE(W$2:W$46,3),1,0),0)</f>
        <v/>
      </c>
      <c r="Y16" s="3">
        <f>IF(AND(ISNUMBER(F16),COUNT(F$2:F$46)&gt;=4),IF(F16&lt;=QUARTILE(F$2:F$46,1),1,0),0)+IF(AND(ISNUMBER(G16),COUNT(G$2:G$46)&gt;=4),IF(G16&lt;=QUARTILE(G$2:G$46,1),1,0),0)+IF(AND(ISNUMBER(H16),COUNT(H$2:H$46)&gt;=4),IF(H16&lt;=QUARTILE(H$2:H$46,1),1,0),0)+IF(AND(ISNUMBER(I16),COUNT(I$2:I$46)&gt;=4),IF(I16&lt;=QUARTILE(I$2:I$46,1),1,0),0)+IF(AND(ISNUMBER(J16),COUNT(J$2:J$46)&gt;=4),IF(J16&lt;=QUARTILE(J$2:J$46,1),1,0),0)+IF(AND(ISNUMBER(K16),COUNT(K$2:K$46)&gt;=4),IF(K16&lt;=QUARTILE(K$2:K$46,1),1,0),0)+IF(AND(ISNUMBER(L16),COUNT(L$2:L$46)&gt;=4),IF(L16&lt;=QUARTILE(L$2:L$46,1),1,0),0)+IF(AND(ISNUMBER(M16),COUNT(M$2:M$46)&gt;=4),IF(M16&lt;=QUARTILE(M$2:M$46,1),1,0),0)+IF(AND(ISNUMBER(N16),COUNT(N$2:N$46)&gt;=4),IF(N16&lt;=QUARTILE(N$2:N$46,1),1,0),0)+IF(AND(ISNUMBER(O16),COUNT(O$2:O$46)&gt;=4),IF(O16&lt;=QUARTILE(O$2:O$46,1),1,0),0)+IF(AND(ISNUMBER(P16),COUNT(P$2:P$46)&gt;=4),IF(P16&lt;=QUARTILE(P$2:P$46,1),1,0),0)+IF(AND(ISNUMBER(Q16),COUNT(Q$2:Q$46)&gt;=4),IF(Q16&lt;=QUARTILE(Q$2:Q$46,1),1,0),0)+IF(AND(ISNUMBER(R16),COUNT(R$2:R$46)&gt;=4),IF(R16&lt;=QUARTILE(R$2:R$46,1),1,0),0)+IF(AND(ISNUMBER(S16),COUNT(S$2:S$46)&gt;=4),IF(S16&lt;=QUARTILE(S$2:S$46,1),1,0),0)+IF(AND(ISNUMBER(T16),COUNT(T$2:T$46)&gt;=4),IF(T16&lt;=QUARTILE(T$2:T$46,1),1,0),0)+IF(AND(ISNUMBER(U16),COUNT(U$2:U$46)&gt;=4),IF(U16&lt;=QUARTILE(U$2:U$46,1),1,0),0)+IF(AND(ISNUMBER(V16),COUNT(V$2:V$46)&gt;=4),IF(V16&lt;=QUARTILE(V$2:V$46,1),1,0),0)+IF(AND(ISNUMBER(W16),COUNT(W$2:W$46)&gt;=4),IF(W16&lt;=QUARTILE(W$2:W$46,1),1,0),0)</f>
        <v/>
      </c>
      <c r="Z16" s="3">
        <f>IF(Y16=0,X16,ROUND(X16/Y16,2))</f>
        <v/>
      </c>
      <c r="AA16" s="3">
        <f>IFERROR(IF(VLOOKUP(A16,'Raw Data 3Y'!A:AP,42,FALSE)="","none",VLOOKUP(A16,'Raw Data 3Y'!A:AP,42,FALSE)),"none")</f>
        <v/>
      </c>
      <c r="AB16" s="4" t="inlineStr">
        <is>
          <t>Source</t>
        </is>
      </c>
    </row>
    <row r="17">
      <c r="A17">
        <f>'Raw Data 3Y'!A5</f>
        <v/>
      </c>
      <c r="B17" s="3">
        <f>IFERROR((('Raw Data 3Y'!C5/'Raw Data 3Y'!B5)^(1/'Raw Data 3Y'!D5)-1)*100,"")</f>
        <v/>
      </c>
      <c r="C17" s="3">
        <f>'Raw Data 3Y'!E5</f>
        <v/>
      </c>
      <c r="D17" s="3">
        <f>INT('Raw Data 3Y'!D5)</f>
        <v/>
      </c>
      <c r="E17" s="3">
        <f>IFERROR(AVERAGE(F17:W17),"")</f>
        <v/>
      </c>
      <c r="F17" s="3">
        <f>IFERROR((('Raw Data 3Y'!G5/'Raw Data 3Y'!F5)^(1/3)-1)*100,"")</f>
        <v/>
      </c>
      <c r="G17" s="3">
        <f>IFERROR((('Raw Data 3Y'!I5/'Raw Data 3Y'!H5)^(1/3)-1)*100,"")</f>
        <v/>
      </c>
      <c r="H17" s="3">
        <f>IFERROR((('Raw Data 3Y'!K5/'Raw Data 3Y'!J5)^(1/3)-1)*100,"")</f>
        <v/>
      </c>
      <c r="I17" s="3">
        <f>IFERROR((('Raw Data 3Y'!M5/'Raw Data 3Y'!L5)^(1/3)-1)*100,"")</f>
        <v/>
      </c>
      <c r="J17" s="3">
        <f>IFERROR((('Raw Data 3Y'!O5/'Raw Data 3Y'!N5)^(1/3)-1)*100,"")</f>
        <v/>
      </c>
      <c r="K17" s="3">
        <f>IFERROR((('Raw Data 3Y'!Q5/'Raw Data 3Y'!P5)^(1/3)-1)*100,"")</f>
        <v/>
      </c>
      <c r="L17" s="3">
        <f>IFERROR((('Raw Data 3Y'!S5/'Raw Data 3Y'!R5)^(1/3)-1)*100,"")</f>
        <v/>
      </c>
      <c r="M17" s="3">
        <f>IFERROR((('Raw Data 3Y'!U5/'Raw Data 3Y'!T5)^(1/3)-1)*100,"")</f>
        <v/>
      </c>
      <c r="N17" s="3">
        <f>IFERROR((('Raw Data 3Y'!W5/'Raw Data 3Y'!V5)^(1/3)-1)*100,"")</f>
        <v/>
      </c>
      <c r="O17" s="3">
        <f>IFERROR((('Raw Data 3Y'!Y5/'Raw Data 3Y'!X5)^(1/3)-1)*100,"")</f>
        <v/>
      </c>
      <c r="P17" s="3">
        <f>IFERROR((('Raw Data 3Y'!AA5/'Raw Data 3Y'!Z5)^(1/3)-1)*100,"")</f>
        <v/>
      </c>
      <c r="Q17" s="3">
        <f>IFERROR((('Raw Data 3Y'!AC5/'Raw Data 3Y'!AB5)^(1/3)-1)*100,"")</f>
        <v/>
      </c>
      <c r="R17" s="3">
        <f>IFERROR((('Raw Data 3Y'!AE5/'Raw Data 3Y'!AD5)^(1/3)-1)*100,"")</f>
        <v/>
      </c>
      <c r="S17" s="3">
        <f>IFERROR((('Raw Data 3Y'!AG5/'Raw Data 3Y'!AF5)^(1/3)-1)*100,"")</f>
        <v/>
      </c>
      <c r="T17" s="3">
        <f>IFERROR((('Raw Data 3Y'!AI5/'Raw Data 3Y'!AH5)^(1/3)-1)*100,"")</f>
        <v/>
      </c>
      <c r="U17" s="3">
        <f>IFERROR((('Raw Data 3Y'!AK5/'Raw Data 3Y'!AJ5)^(1/3)-1)*100,"")</f>
        <v/>
      </c>
      <c r="V17" s="3">
        <f>IFERROR((('Raw Data 3Y'!AM5/'Raw Data 3Y'!AL5)^(1/3)-1)*100,"")</f>
        <v/>
      </c>
      <c r="W17" s="3">
        <f>IFERROR((('Raw Data 3Y'!AO5/'Raw Data 3Y'!AN5)^(1/3)-1)*100,"")</f>
        <v/>
      </c>
      <c r="X17" s="3">
        <f>IF(AND(ISNUMBER(F17),COUNT(F$2:F$46)&gt;=4),IF(F17&gt;=QUARTILE(F$2:F$46,3),1,0),0)+IF(AND(ISNUMBER(G17),COUNT(G$2:G$46)&gt;=4),IF(G17&gt;=QUARTILE(G$2:G$46,3),1,0),0)+IF(AND(ISNUMBER(H17),COUNT(H$2:H$46)&gt;=4),IF(H17&gt;=QUARTILE(H$2:H$46,3),1,0),0)+IF(AND(ISNUMBER(I17),COUNT(I$2:I$46)&gt;=4),IF(I17&gt;=QUARTILE(I$2:I$46,3),1,0),0)+IF(AND(ISNUMBER(J17),COUNT(J$2:J$46)&gt;=4),IF(J17&gt;=QUARTILE(J$2:J$46,3),1,0),0)+IF(AND(ISNUMBER(K17),COUNT(K$2:K$46)&gt;=4),IF(K17&gt;=QUARTILE(K$2:K$46,3),1,0),0)+IF(AND(ISNUMBER(L17),COUNT(L$2:L$46)&gt;=4),IF(L17&gt;=QUARTILE(L$2:L$46,3),1,0),0)+IF(AND(ISNUMBER(M17),COUNT(M$2:M$46)&gt;=4),IF(M17&gt;=QUARTILE(M$2:M$46,3),1,0),0)+IF(AND(ISNUMBER(N17),COUNT(N$2:N$46)&gt;=4),IF(N17&gt;=QUARTILE(N$2:N$46,3),1,0),0)+IF(AND(ISNUMBER(O17),COUNT(O$2:O$46)&gt;=4),IF(O17&gt;=QUARTILE(O$2:O$46,3),1,0),0)+IF(AND(ISNUMBER(P17),COUNT(P$2:P$46)&gt;=4),IF(P17&gt;=QUARTILE(P$2:P$46,3),1,0),0)+IF(AND(ISNUMBER(Q17),COUNT(Q$2:Q$46)&gt;=4),IF(Q17&gt;=QUARTILE(Q$2:Q$46,3),1,0),0)+IF(AND(ISNUMBER(R17),COUNT(R$2:R$46)&gt;=4),IF(R17&gt;=QUARTILE(R$2:R$46,3),1,0),0)+IF(AND(ISNUMBER(S17),COUNT(S$2:S$46)&gt;=4),IF(S17&gt;=QUARTILE(S$2:S$46,3),1,0),0)+IF(AND(ISNUMBER(T17),COUNT(T$2:T$46)&gt;=4),IF(T17&gt;=QUARTILE(T$2:T$46,3),1,0),0)+IF(AND(ISNUMBER(U17),COUNT(U$2:U$46)&gt;=4),IF(U17&gt;=QUARTILE(U$2:U$46,3),1,0),0)+IF(AND(ISNUMBER(V17),COUNT(V$2:V$46)&gt;=4),IF(V17&gt;=QUARTILE(V$2:V$46,3),1,0),0)+IF(AND(ISNUMBER(W17),COUNT(W$2:W$46)&gt;=4),IF(W17&gt;=QUARTILE(W$2:W$46,3),1,0),0)</f>
        <v/>
      </c>
      <c r="Y17" s="3">
        <f>IF(AND(ISNUMBER(F17),COUNT(F$2:F$46)&gt;=4),IF(F17&lt;=QUARTILE(F$2:F$46,1),1,0),0)+IF(AND(ISNUMBER(G17),COUNT(G$2:G$46)&gt;=4),IF(G17&lt;=QUARTILE(G$2:G$46,1),1,0),0)+IF(AND(ISNUMBER(H17),COUNT(H$2:H$46)&gt;=4),IF(H17&lt;=QUARTILE(H$2:H$46,1),1,0),0)+IF(AND(ISNUMBER(I17),COUNT(I$2:I$46)&gt;=4),IF(I17&lt;=QUARTILE(I$2:I$46,1),1,0),0)+IF(AND(ISNUMBER(J17),COUNT(J$2:J$46)&gt;=4),IF(J17&lt;=QUARTILE(J$2:J$46,1),1,0),0)+IF(AND(ISNUMBER(K17),COUNT(K$2:K$46)&gt;=4),IF(K17&lt;=QUARTILE(K$2:K$46,1),1,0),0)+IF(AND(ISNUMBER(L17),COUNT(L$2:L$46)&gt;=4),IF(L17&lt;=QUARTILE(L$2:L$46,1),1,0),0)+IF(AND(ISNUMBER(M17),COUNT(M$2:M$46)&gt;=4),IF(M17&lt;=QUARTILE(M$2:M$46,1),1,0),0)+IF(AND(ISNUMBER(N17),COUNT(N$2:N$46)&gt;=4),IF(N17&lt;=QUARTILE(N$2:N$46,1),1,0),0)+IF(AND(ISNUMBER(O17),COUNT(O$2:O$46)&gt;=4),IF(O17&lt;=QUARTILE(O$2:O$46,1),1,0),0)+IF(AND(ISNUMBER(P17),COUNT(P$2:P$46)&gt;=4),IF(P17&lt;=QUARTILE(P$2:P$46,1),1,0),0)+IF(AND(ISNUMBER(Q17),COUNT(Q$2:Q$46)&gt;=4),IF(Q17&lt;=QUARTILE(Q$2:Q$46,1),1,0),0)+IF(AND(ISNUMBER(R17),COUNT(R$2:R$46)&gt;=4),IF(R17&lt;=QUARTILE(R$2:R$46,1),1,0),0)+IF(AND(ISNUMBER(S17),COUNT(S$2:S$46)&gt;=4),IF(S17&lt;=QUARTILE(S$2:S$46,1),1,0),0)+IF(AND(ISNUMBER(T17),COUNT(T$2:T$46)&gt;=4),IF(T17&lt;=QUARTILE(T$2:T$46,1),1,0),0)+IF(AND(ISNUMBER(U17),COUNT(U$2:U$46)&gt;=4),IF(U17&lt;=QUARTILE(U$2:U$46,1),1,0),0)+IF(AND(ISNUMBER(V17),COUNT(V$2:V$46)&gt;=4),IF(V17&lt;=QUARTILE(V$2:V$46,1),1,0),0)+IF(AND(ISNUMBER(W17),COUNT(W$2:W$46)&gt;=4),IF(W17&lt;=QUARTILE(W$2:W$46,1),1,0),0)</f>
        <v/>
      </c>
      <c r="Z17" s="3">
        <f>IF(Y17=0,X17,ROUND(X17/Y17,2))</f>
        <v/>
      </c>
      <c r="AA17" s="3">
        <f>IFERROR(IF(VLOOKUP(A17,'Raw Data 3Y'!A:AP,42,FALSE)="","none",VLOOKUP(A17,'Raw Data 3Y'!A:AP,42,FALSE)),"none")</f>
        <v/>
      </c>
      <c r="AB17" s="4" t="inlineStr">
        <is>
          <t>Source</t>
        </is>
      </c>
    </row>
    <row r="18">
      <c r="A18">
        <f>'Raw Data 3Y'!A11</f>
        <v/>
      </c>
      <c r="B18" s="3">
        <f>IFERROR((('Raw Data 3Y'!C11/'Raw Data 3Y'!B11)^(1/'Raw Data 3Y'!D11)-1)*100,"")</f>
        <v/>
      </c>
      <c r="C18" s="3">
        <f>'Raw Data 3Y'!E11</f>
        <v/>
      </c>
      <c r="D18" s="3">
        <f>INT('Raw Data 3Y'!D11)</f>
        <v/>
      </c>
      <c r="E18" s="3">
        <f>IFERROR(AVERAGE(F18:W18),"")</f>
        <v/>
      </c>
      <c r="F18" s="3">
        <f>IFERROR((('Raw Data 3Y'!G11/'Raw Data 3Y'!F11)^(1/3)-1)*100,"")</f>
        <v/>
      </c>
      <c r="G18" s="3">
        <f>IFERROR((('Raw Data 3Y'!I11/'Raw Data 3Y'!H11)^(1/3)-1)*100,"")</f>
        <v/>
      </c>
      <c r="H18" s="3">
        <f>IFERROR((('Raw Data 3Y'!K11/'Raw Data 3Y'!J11)^(1/3)-1)*100,"")</f>
        <v/>
      </c>
      <c r="I18" s="3">
        <f>IFERROR((('Raw Data 3Y'!M11/'Raw Data 3Y'!L11)^(1/3)-1)*100,"")</f>
        <v/>
      </c>
      <c r="J18" s="3">
        <f>IFERROR((('Raw Data 3Y'!O11/'Raw Data 3Y'!N11)^(1/3)-1)*100,"")</f>
        <v/>
      </c>
      <c r="K18" s="3">
        <f>IFERROR((('Raw Data 3Y'!Q11/'Raw Data 3Y'!P11)^(1/3)-1)*100,"")</f>
        <v/>
      </c>
      <c r="L18" s="3">
        <f>IFERROR((('Raw Data 3Y'!S11/'Raw Data 3Y'!R11)^(1/3)-1)*100,"")</f>
        <v/>
      </c>
      <c r="M18" s="3">
        <f>IFERROR((('Raw Data 3Y'!U11/'Raw Data 3Y'!T11)^(1/3)-1)*100,"")</f>
        <v/>
      </c>
      <c r="N18" s="3">
        <f>IFERROR((('Raw Data 3Y'!W11/'Raw Data 3Y'!V11)^(1/3)-1)*100,"")</f>
        <v/>
      </c>
      <c r="O18" s="3">
        <f>IFERROR((('Raw Data 3Y'!Y11/'Raw Data 3Y'!X11)^(1/3)-1)*100,"")</f>
        <v/>
      </c>
      <c r="P18" s="3">
        <f>IFERROR((('Raw Data 3Y'!AA11/'Raw Data 3Y'!Z11)^(1/3)-1)*100,"")</f>
        <v/>
      </c>
      <c r="Q18" s="3">
        <f>IFERROR((('Raw Data 3Y'!AC11/'Raw Data 3Y'!AB11)^(1/3)-1)*100,"")</f>
        <v/>
      </c>
      <c r="R18" s="3">
        <f>IFERROR((('Raw Data 3Y'!AE11/'Raw Data 3Y'!AD11)^(1/3)-1)*100,"")</f>
        <v/>
      </c>
      <c r="S18" s="3">
        <f>IFERROR((('Raw Data 3Y'!AG11/'Raw Data 3Y'!AF11)^(1/3)-1)*100,"")</f>
        <v/>
      </c>
      <c r="T18" s="3">
        <f>IFERROR((('Raw Data 3Y'!AI11/'Raw Data 3Y'!AH11)^(1/3)-1)*100,"")</f>
        <v/>
      </c>
      <c r="U18" s="3">
        <f>IFERROR((('Raw Data 3Y'!AK11/'Raw Data 3Y'!AJ11)^(1/3)-1)*100,"")</f>
        <v/>
      </c>
      <c r="V18" s="3">
        <f>IFERROR((('Raw Data 3Y'!AM11/'Raw Data 3Y'!AL11)^(1/3)-1)*100,"")</f>
        <v/>
      </c>
      <c r="W18" s="3">
        <f>IFERROR((('Raw Data 3Y'!AO11/'Raw Data 3Y'!AN11)^(1/3)-1)*100,"")</f>
        <v/>
      </c>
      <c r="X18" s="3">
        <f>IF(AND(ISNUMBER(F18),COUNT(F$2:F$46)&gt;=4),IF(F18&gt;=QUARTILE(F$2:F$46,3),1,0),0)+IF(AND(ISNUMBER(G18),COUNT(G$2:G$46)&gt;=4),IF(G18&gt;=QUARTILE(G$2:G$46,3),1,0),0)+IF(AND(ISNUMBER(H18),COUNT(H$2:H$46)&gt;=4),IF(H18&gt;=QUARTILE(H$2:H$46,3),1,0),0)+IF(AND(ISNUMBER(I18),COUNT(I$2:I$46)&gt;=4),IF(I18&gt;=QUARTILE(I$2:I$46,3),1,0),0)+IF(AND(ISNUMBER(J18),COUNT(J$2:J$46)&gt;=4),IF(J18&gt;=QUARTILE(J$2:J$46,3),1,0),0)+IF(AND(ISNUMBER(K18),COUNT(K$2:K$46)&gt;=4),IF(K18&gt;=QUARTILE(K$2:K$46,3),1,0),0)+IF(AND(ISNUMBER(L18),COUNT(L$2:L$46)&gt;=4),IF(L18&gt;=QUARTILE(L$2:L$46,3),1,0),0)+IF(AND(ISNUMBER(M18),COUNT(M$2:M$46)&gt;=4),IF(M18&gt;=QUARTILE(M$2:M$46,3),1,0),0)+IF(AND(ISNUMBER(N18),COUNT(N$2:N$46)&gt;=4),IF(N18&gt;=QUARTILE(N$2:N$46,3),1,0),0)+IF(AND(ISNUMBER(O18),COUNT(O$2:O$46)&gt;=4),IF(O18&gt;=QUARTILE(O$2:O$46,3),1,0),0)+IF(AND(ISNUMBER(P18),COUNT(P$2:P$46)&gt;=4),IF(P18&gt;=QUARTILE(P$2:P$46,3),1,0),0)+IF(AND(ISNUMBER(Q18),COUNT(Q$2:Q$46)&gt;=4),IF(Q18&gt;=QUARTILE(Q$2:Q$46,3),1,0),0)+IF(AND(ISNUMBER(R18),COUNT(R$2:R$46)&gt;=4),IF(R18&gt;=QUARTILE(R$2:R$46,3),1,0),0)+IF(AND(ISNUMBER(S18),COUNT(S$2:S$46)&gt;=4),IF(S18&gt;=QUARTILE(S$2:S$46,3),1,0),0)+IF(AND(ISNUMBER(T18),COUNT(T$2:T$46)&gt;=4),IF(T18&gt;=QUARTILE(T$2:T$46,3),1,0),0)+IF(AND(ISNUMBER(U18),COUNT(U$2:U$46)&gt;=4),IF(U18&gt;=QUARTILE(U$2:U$46,3),1,0),0)+IF(AND(ISNUMBER(V18),COUNT(V$2:V$46)&gt;=4),IF(V18&gt;=QUARTILE(V$2:V$46,3),1,0),0)+IF(AND(ISNUMBER(W18),COUNT(W$2:W$46)&gt;=4),IF(W18&gt;=QUARTILE(W$2:W$46,3),1,0),0)</f>
        <v/>
      </c>
      <c r="Y18" s="3">
        <f>IF(AND(ISNUMBER(F18),COUNT(F$2:F$46)&gt;=4),IF(F18&lt;=QUARTILE(F$2:F$46,1),1,0),0)+IF(AND(ISNUMBER(G18),COUNT(G$2:G$46)&gt;=4),IF(G18&lt;=QUARTILE(G$2:G$46,1),1,0),0)+IF(AND(ISNUMBER(H18),COUNT(H$2:H$46)&gt;=4),IF(H18&lt;=QUARTILE(H$2:H$46,1),1,0),0)+IF(AND(ISNUMBER(I18),COUNT(I$2:I$46)&gt;=4),IF(I18&lt;=QUARTILE(I$2:I$46,1),1,0),0)+IF(AND(ISNUMBER(J18),COUNT(J$2:J$46)&gt;=4),IF(J18&lt;=QUARTILE(J$2:J$46,1),1,0),0)+IF(AND(ISNUMBER(K18),COUNT(K$2:K$46)&gt;=4),IF(K18&lt;=QUARTILE(K$2:K$46,1),1,0),0)+IF(AND(ISNUMBER(L18),COUNT(L$2:L$46)&gt;=4),IF(L18&lt;=QUARTILE(L$2:L$46,1),1,0),0)+IF(AND(ISNUMBER(M18),COUNT(M$2:M$46)&gt;=4),IF(M18&lt;=QUARTILE(M$2:M$46,1),1,0),0)+IF(AND(ISNUMBER(N18),COUNT(N$2:N$46)&gt;=4),IF(N18&lt;=QUARTILE(N$2:N$46,1),1,0),0)+IF(AND(ISNUMBER(O18),COUNT(O$2:O$46)&gt;=4),IF(O18&lt;=QUARTILE(O$2:O$46,1),1,0),0)+IF(AND(ISNUMBER(P18),COUNT(P$2:P$46)&gt;=4),IF(P18&lt;=QUARTILE(P$2:P$46,1),1,0),0)+IF(AND(ISNUMBER(Q18),COUNT(Q$2:Q$46)&gt;=4),IF(Q18&lt;=QUARTILE(Q$2:Q$46,1),1,0),0)+IF(AND(ISNUMBER(R18),COUNT(R$2:R$46)&gt;=4),IF(R18&lt;=QUARTILE(R$2:R$46,1),1,0),0)+IF(AND(ISNUMBER(S18),COUNT(S$2:S$46)&gt;=4),IF(S18&lt;=QUARTILE(S$2:S$46,1),1,0),0)+IF(AND(ISNUMBER(T18),COUNT(T$2:T$46)&gt;=4),IF(T18&lt;=QUARTILE(T$2:T$46,1),1,0),0)+IF(AND(ISNUMBER(U18),COUNT(U$2:U$46)&gt;=4),IF(U18&lt;=QUARTILE(U$2:U$46,1),1,0),0)+IF(AND(ISNUMBER(V18),COUNT(V$2:V$46)&gt;=4),IF(V18&lt;=QUARTILE(V$2:V$46,1),1,0),0)+IF(AND(ISNUMBER(W18),COUNT(W$2:W$46)&gt;=4),IF(W18&lt;=QUARTILE(W$2:W$46,1),1,0),0)</f>
        <v/>
      </c>
      <c r="Z18" s="3">
        <f>IF(Y18=0,X18,ROUND(X18/Y18,2))</f>
        <v/>
      </c>
      <c r="AA18" s="3">
        <f>IFERROR(IF(VLOOKUP(A18,'Raw Data 3Y'!A:AP,42,FALSE)="","none",VLOOKUP(A18,'Raw Data 3Y'!A:AP,42,FALSE)),"none")</f>
        <v/>
      </c>
      <c r="AB18" s="4" t="inlineStr">
        <is>
          <t>Source</t>
        </is>
      </c>
    </row>
    <row r="19">
      <c r="A19">
        <f>'Raw Data 3Y'!A17</f>
        <v/>
      </c>
      <c r="B19" s="3">
        <f>IFERROR((('Raw Data 3Y'!C17/'Raw Data 3Y'!B17)^(1/'Raw Data 3Y'!D17)-1)*100,"")</f>
        <v/>
      </c>
      <c r="C19" s="3">
        <f>'Raw Data 3Y'!E17</f>
        <v/>
      </c>
      <c r="D19" s="3">
        <f>INT('Raw Data 3Y'!D17)</f>
        <v/>
      </c>
      <c r="E19" s="3">
        <f>IFERROR(AVERAGE(F19:W19),"")</f>
        <v/>
      </c>
      <c r="F19" s="3">
        <f>IFERROR((('Raw Data 3Y'!G17/'Raw Data 3Y'!F17)^(1/3)-1)*100,"")</f>
        <v/>
      </c>
      <c r="G19" s="3">
        <f>IFERROR((('Raw Data 3Y'!I17/'Raw Data 3Y'!H17)^(1/3)-1)*100,"")</f>
        <v/>
      </c>
      <c r="H19" s="3">
        <f>IFERROR((('Raw Data 3Y'!K17/'Raw Data 3Y'!J17)^(1/3)-1)*100,"")</f>
        <v/>
      </c>
      <c r="I19" s="3">
        <f>IFERROR((('Raw Data 3Y'!M17/'Raw Data 3Y'!L17)^(1/3)-1)*100,"")</f>
        <v/>
      </c>
      <c r="J19" s="3">
        <f>IFERROR((('Raw Data 3Y'!O17/'Raw Data 3Y'!N17)^(1/3)-1)*100,"")</f>
        <v/>
      </c>
      <c r="K19" s="3">
        <f>IFERROR((('Raw Data 3Y'!Q17/'Raw Data 3Y'!P17)^(1/3)-1)*100,"")</f>
        <v/>
      </c>
      <c r="L19" s="3">
        <f>IFERROR((('Raw Data 3Y'!S17/'Raw Data 3Y'!R17)^(1/3)-1)*100,"")</f>
        <v/>
      </c>
      <c r="M19" s="3">
        <f>IFERROR((('Raw Data 3Y'!U17/'Raw Data 3Y'!T17)^(1/3)-1)*100,"")</f>
        <v/>
      </c>
      <c r="N19" s="3">
        <f>IFERROR((('Raw Data 3Y'!W17/'Raw Data 3Y'!V17)^(1/3)-1)*100,"")</f>
        <v/>
      </c>
      <c r="O19" s="3">
        <f>IFERROR((('Raw Data 3Y'!Y17/'Raw Data 3Y'!X17)^(1/3)-1)*100,"")</f>
        <v/>
      </c>
      <c r="P19" s="3">
        <f>IFERROR((('Raw Data 3Y'!AA17/'Raw Data 3Y'!Z17)^(1/3)-1)*100,"")</f>
        <v/>
      </c>
      <c r="Q19" s="3">
        <f>IFERROR((('Raw Data 3Y'!AC17/'Raw Data 3Y'!AB17)^(1/3)-1)*100,"")</f>
        <v/>
      </c>
      <c r="R19" s="3">
        <f>IFERROR((('Raw Data 3Y'!AE17/'Raw Data 3Y'!AD17)^(1/3)-1)*100,"")</f>
        <v/>
      </c>
      <c r="S19" s="3">
        <f>IFERROR((('Raw Data 3Y'!AG17/'Raw Data 3Y'!AF17)^(1/3)-1)*100,"")</f>
        <v/>
      </c>
      <c r="T19" s="3">
        <f>IFERROR((('Raw Data 3Y'!AI17/'Raw Data 3Y'!AH17)^(1/3)-1)*100,"")</f>
        <v/>
      </c>
      <c r="U19" s="3">
        <f>IFERROR((('Raw Data 3Y'!AK17/'Raw Data 3Y'!AJ17)^(1/3)-1)*100,"")</f>
        <v/>
      </c>
      <c r="V19" s="3">
        <f>IFERROR((('Raw Data 3Y'!AM17/'Raw Data 3Y'!AL17)^(1/3)-1)*100,"")</f>
        <v/>
      </c>
      <c r="W19" s="3">
        <f>IFERROR((('Raw Data 3Y'!AO17/'Raw Data 3Y'!AN17)^(1/3)-1)*100,"")</f>
        <v/>
      </c>
      <c r="X19" s="3">
        <f>IF(AND(ISNUMBER(F19),COUNT(F$2:F$46)&gt;=4),IF(F19&gt;=QUARTILE(F$2:F$46,3),1,0),0)+IF(AND(ISNUMBER(G19),COUNT(G$2:G$46)&gt;=4),IF(G19&gt;=QUARTILE(G$2:G$46,3),1,0),0)+IF(AND(ISNUMBER(H19),COUNT(H$2:H$46)&gt;=4),IF(H19&gt;=QUARTILE(H$2:H$46,3),1,0),0)+IF(AND(ISNUMBER(I19),COUNT(I$2:I$46)&gt;=4),IF(I19&gt;=QUARTILE(I$2:I$46,3),1,0),0)+IF(AND(ISNUMBER(J19),COUNT(J$2:J$46)&gt;=4),IF(J19&gt;=QUARTILE(J$2:J$46,3),1,0),0)+IF(AND(ISNUMBER(K19),COUNT(K$2:K$46)&gt;=4),IF(K19&gt;=QUARTILE(K$2:K$46,3),1,0),0)+IF(AND(ISNUMBER(L19),COUNT(L$2:L$46)&gt;=4),IF(L19&gt;=QUARTILE(L$2:L$46,3),1,0),0)+IF(AND(ISNUMBER(M19),COUNT(M$2:M$46)&gt;=4),IF(M19&gt;=QUARTILE(M$2:M$46,3),1,0),0)+IF(AND(ISNUMBER(N19),COUNT(N$2:N$46)&gt;=4),IF(N19&gt;=QUARTILE(N$2:N$46,3),1,0),0)+IF(AND(ISNUMBER(O19),COUNT(O$2:O$46)&gt;=4),IF(O19&gt;=QUARTILE(O$2:O$46,3),1,0),0)+IF(AND(ISNUMBER(P19),COUNT(P$2:P$46)&gt;=4),IF(P19&gt;=QUARTILE(P$2:P$46,3),1,0),0)+IF(AND(ISNUMBER(Q19),COUNT(Q$2:Q$46)&gt;=4),IF(Q19&gt;=QUARTILE(Q$2:Q$46,3),1,0),0)+IF(AND(ISNUMBER(R19),COUNT(R$2:R$46)&gt;=4),IF(R19&gt;=QUARTILE(R$2:R$46,3),1,0),0)+IF(AND(ISNUMBER(S19),COUNT(S$2:S$46)&gt;=4),IF(S19&gt;=QUARTILE(S$2:S$46,3),1,0),0)+IF(AND(ISNUMBER(T19),COUNT(T$2:T$46)&gt;=4),IF(T19&gt;=QUARTILE(T$2:T$46,3),1,0),0)+IF(AND(ISNUMBER(U19),COUNT(U$2:U$46)&gt;=4),IF(U19&gt;=QUARTILE(U$2:U$46,3),1,0),0)+IF(AND(ISNUMBER(V19),COUNT(V$2:V$46)&gt;=4),IF(V19&gt;=QUARTILE(V$2:V$46,3),1,0),0)+IF(AND(ISNUMBER(W19),COUNT(W$2:W$46)&gt;=4),IF(W19&gt;=QUARTILE(W$2:W$46,3),1,0),0)</f>
        <v/>
      </c>
      <c r="Y19" s="3">
        <f>IF(AND(ISNUMBER(F19),COUNT(F$2:F$46)&gt;=4),IF(F19&lt;=QUARTILE(F$2:F$46,1),1,0),0)+IF(AND(ISNUMBER(G19),COUNT(G$2:G$46)&gt;=4),IF(G19&lt;=QUARTILE(G$2:G$46,1),1,0),0)+IF(AND(ISNUMBER(H19),COUNT(H$2:H$46)&gt;=4),IF(H19&lt;=QUARTILE(H$2:H$46,1),1,0),0)+IF(AND(ISNUMBER(I19),COUNT(I$2:I$46)&gt;=4),IF(I19&lt;=QUARTILE(I$2:I$46,1),1,0),0)+IF(AND(ISNUMBER(J19),COUNT(J$2:J$46)&gt;=4),IF(J19&lt;=QUARTILE(J$2:J$46,1),1,0),0)+IF(AND(ISNUMBER(K19),COUNT(K$2:K$46)&gt;=4),IF(K19&lt;=QUARTILE(K$2:K$46,1),1,0),0)+IF(AND(ISNUMBER(L19),COUNT(L$2:L$46)&gt;=4),IF(L19&lt;=QUARTILE(L$2:L$46,1),1,0),0)+IF(AND(ISNUMBER(M19),COUNT(M$2:M$46)&gt;=4),IF(M19&lt;=QUARTILE(M$2:M$46,1),1,0),0)+IF(AND(ISNUMBER(N19),COUNT(N$2:N$46)&gt;=4),IF(N19&lt;=QUARTILE(N$2:N$46,1),1,0),0)+IF(AND(ISNUMBER(O19),COUNT(O$2:O$46)&gt;=4),IF(O19&lt;=QUARTILE(O$2:O$46,1),1,0),0)+IF(AND(ISNUMBER(P19),COUNT(P$2:P$46)&gt;=4),IF(P19&lt;=QUARTILE(P$2:P$46,1),1,0),0)+IF(AND(ISNUMBER(Q19),COUNT(Q$2:Q$46)&gt;=4),IF(Q19&lt;=QUARTILE(Q$2:Q$46,1),1,0),0)+IF(AND(ISNUMBER(R19),COUNT(R$2:R$46)&gt;=4),IF(R19&lt;=QUARTILE(R$2:R$46,1),1,0),0)+IF(AND(ISNUMBER(S19),COUNT(S$2:S$46)&gt;=4),IF(S19&lt;=QUARTILE(S$2:S$46,1),1,0),0)+IF(AND(ISNUMBER(T19),COUNT(T$2:T$46)&gt;=4),IF(T19&lt;=QUARTILE(T$2:T$46,1),1,0),0)+IF(AND(ISNUMBER(U19),COUNT(U$2:U$46)&gt;=4),IF(U19&lt;=QUARTILE(U$2:U$46,1),1,0),0)+IF(AND(ISNUMBER(V19),COUNT(V$2:V$46)&gt;=4),IF(V19&lt;=QUARTILE(V$2:V$46,1),1,0),0)+IF(AND(ISNUMBER(W19),COUNT(W$2:W$46)&gt;=4),IF(W19&lt;=QUARTILE(W$2:W$46,1),1,0),0)</f>
        <v/>
      </c>
      <c r="Z19" s="3">
        <f>IF(Y19=0,X19,ROUND(X19/Y19,2))</f>
        <v/>
      </c>
      <c r="AA19" s="3">
        <f>IFERROR(IF(VLOOKUP(A19,'Raw Data 3Y'!A:AP,42,FALSE)="","none",VLOOKUP(A19,'Raw Data 3Y'!A:AP,42,FALSE)),"none")</f>
        <v/>
      </c>
      <c r="AB19" s="4" t="inlineStr">
        <is>
          <t>Source</t>
        </is>
      </c>
    </row>
    <row r="20">
      <c r="A20">
        <f>'Raw Data 3Y'!A44</f>
        <v/>
      </c>
      <c r="B20" s="3">
        <f>IFERROR((('Raw Data 3Y'!C44/'Raw Data 3Y'!B44)^(1/'Raw Data 3Y'!D44)-1)*100,"")</f>
        <v/>
      </c>
      <c r="C20" s="3">
        <f>'Raw Data 3Y'!E44</f>
        <v/>
      </c>
      <c r="D20" s="3">
        <f>INT('Raw Data 3Y'!D44)</f>
        <v/>
      </c>
      <c r="E20" s="3">
        <f>IFERROR(AVERAGE(F20:W20),"")</f>
        <v/>
      </c>
      <c r="F20" s="3">
        <f>IFERROR((('Raw Data 3Y'!G44/'Raw Data 3Y'!F44)^(1/3)-1)*100,"")</f>
        <v/>
      </c>
      <c r="G20" s="3">
        <f>IFERROR((('Raw Data 3Y'!I44/'Raw Data 3Y'!H44)^(1/3)-1)*100,"")</f>
        <v/>
      </c>
      <c r="H20" s="3">
        <f>IFERROR((('Raw Data 3Y'!K44/'Raw Data 3Y'!J44)^(1/3)-1)*100,"")</f>
        <v/>
      </c>
      <c r="I20" s="3">
        <f>IFERROR((('Raw Data 3Y'!M44/'Raw Data 3Y'!L44)^(1/3)-1)*100,"")</f>
        <v/>
      </c>
      <c r="J20" s="3">
        <f>IFERROR((('Raw Data 3Y'!O44/'Raw Data 3Y'!N44)^(1/3)-1)*100,"")</f>
        <v/>
      </c>
      <c r="K20" s="3">
        <f>IFERROR((('Raw Data 3Y'!Q44/'Raw Data 3Y'!P44)^(1/3)-1)*100,"")</f>
        <v/>
      </c>
      <c r="L20" s="3">
        <f>IFERROR((('Raw Data 3Y'!S44/'Raw Data 3Y'!R44)^(1/3)-1)*100,"")</f>
        <v/>
      </c>
      <c r="M20" s="3">
        <f>IFERROR((('Raw Data 3Y'!U44/'Raw Data 3Y'!T44)^(1/3)-1)*100,"")</f>
        <v/>
      </c>
      <c r="N20" s="3">
        <f>IFERROR((('Raw Data 3Y'!W44/'Raw Data 3Y'!V44)^(1/3)-1)*100,"")</f>
        <v/>
      </c>
      <c r="O20" s="3">
        <f>IFERROR((('Raw Data 3Y'!Y44/'Raw Data 3Y'!X44)^(1/3)-1)*100,"")</f>
        <v/>
      </c>
      <c r="P20" s="3">
        <f>IFERROR((('Raw Data 3Y'!AA44/'Raw Data 3Y'!Z44)^(1/3)-1)*100,"")</f>
        <v/>
      </c>
      <c r="Q20" s="3">
        <f>IFERROR((('Raw Data 3Y'!AC44/'Raw Data 3Y'!AB44)^(1/3)-1)*100,"")</f>
        <v/>
      </c>
      <c r="R20" s="3">
        <f>IFERROR((('Raw Data 3Y'!AE44/'Raw Data 3Y'!AD44)^(1/3)-1)*100,"")</f>
        <v/>
      </c>
      <c r="S20" s="3">
        <f>IFERROR((('Raw Data 3Y'!AG44/'Raw Data 3Y'!AF44)^(1/3)-1)*100,"")</f>
        <v/>
      </c>
      <c r="T20" s="3">
        <f>IFERROR((('Raw Data 3Y'!AI44/'Raw Data 3Y'!AH44)^(1/3)-1)*100,"")</f>
        <v/>
      </c>
      <c r="U20" s="3">
        <f>IFERROR((('Raw Data 3Y'!AK44/'Raw Data 3Y'!AJ44)^(1/3)-1)*100,"")</f>
        <v/>
      </c>
      <c r="V20" s="3">
        <f>IFERROR((('Raw Data 3Y'!AM44/'Raw Data 3Y'!AL44)^(1/3)-1)*100,"")</f>
        <v/>
      </c>
      <c r="W20" s="3">
        <f>IFERROR((('Raw Data 3Y'!AO44/'Raw Data 3Y'!AN44)^(1/3)-1)*100,"")</f>
        <v/>
      </c>
      <c r="X20" s="3">
        <f>IF(AND(ISNUMBER(F20),COUNT(F$2:F$46)&gt;=4),IF(F20&gt;=QUARTILE(F$2:F$46,3),1,0),0)+IF(AND(ISNUMBER(G20),COUNT(G$2:G$46)&gt;=4),IF(G20&gt;=QUARTILE(G$2:G$46,3),1,0),0)+IF(AND(ISNUMBER(H20),COUNT(H$2:H$46)&gt;=4),IF(H20&gt;=QUARTILE(H$2:H$46,3),1,0),0)+IF(AND(ISNUMBER(I20),COUNT(I$2:I$46)&gt;=4),IF(I20&gt;=QUARTILE(I$2:I$46,3),1,0),0)+IF(AND(ISNUMBER(J20),COUNT(J$2:J$46)&gt;=4),IF(J20&gt;=QUARTILE(J$2:J$46,3),1,0),0)+IF(AND(ISNUMBER(K20),COUNT(K$2:K$46)&gt;=4),IF(K20&gt;=QUARTILE(K$2:K$46,3),1,0),0)+IF(AND(ISNUMBER(L20),COUNT(L$2:L$46)&gt;=4),IF(L20&gt;=QUARTILE(L$2:L$46,3),1,0),0)+IF(AND(ISNUMBER(M20),COUNT(M$2:M$46)&gt;=4),IF(M20&gt;=QUARTILE(M$2:M$46,3),1,0),0)+IF(AND(ISNUMBER(N20),COUNT(N$2:N$46)&gt;=4),IF(N20&gt;=QUARTILE(N$2:N$46,3),1,0),0)+IF(AND(ISNUMBER(O20),COUNT(O$2:O$46)&gt;=4),IF(O20&gt;=QUARTILE(O$2:O$46,3),1,0),0)+IF(AND(ISNUMBER(P20),COUNT(P$2:P$46)&gt;=4),IF(P20&gt;=QUARTILE(P$2:P$46,3),1,0),0)+IF(AND(ISNUMBER(Q20),COUNT(Q$2:Q$46)&gt;=4),IF(Q20&gt;=QUARTILE(Q$2:Q$46,3),1,0),0)+IF(AND(ISNUMBER(R20),COUNT(R$2:R$46)&gt;=4),IF(R20&gt;=QUARTILE(R$2:R$46,3),1,0),0)+IF(AND(ISNUMBER(S20),COUNT(S$2:S$46)&gt;=4),IF(S20&gt;=QUARTILE(S$2:S$46,3),1,0),0)+IF(AND(ISNUMBER(T20),COUNT(T$2:T$46)&gt;=4),IF(T20&gt;=QUARTILE(T$2:T$46,3),1,0),0)+IF(AND(ISNUMBER(U20),COUNT(U$2:U$46)&gt;=4),IF(U20&gt;=QUARTILE(U$2:U$46,3),1,0),0)+IF(AND(ISNUMBER(V20),COUNT(V$2:V$46)&gt;=4),IF(V20&gt;=QUARTILE(V$2:V$46,3),1,0),0)+IF(AND(ISNUMBER(W20),COUNT(W$2:W$46)&gt;=4),IF(W20&gt;=QUARTILE(W$2:W$46,3),1,0),0)</f>
        <v/>
      </c>
      <c r="Y20" s="3">
        <f>IF(AND(ISNUMBER(F20),COUNT(F$2:F$46)&gt;=4),IF(F20&lt;=QUARTILE(F$2:F$46,1),1,0),0)+IF(AND(ISNUMBER(G20),COUNT(G$2:G$46)&gt;=4),IF(G20&lt;=QUARTILE(G$2:G$46,1),1,0),0)+IF(AND(ISNUMBER(H20),COUNT(H$2:H$46)&gt;=4),IF(H20&lt;=QUARTILE(H$2:H$46,1),1,0),0)+IF(AND(ISNUMBER(I20),COUNT(I$2:I$46)&gt;=4),IF(I20&lt;=QUARTILE(I$2:I$46,1),1,0),0)+IF(AND(ISNUMBER(J20),COUNT(J$2:J$46)&gt;=4),IF(J20&lt;=QUARTILE(J$2:J$46,1),1,0),0)+IF(AND(ISNUMBER(K20),COUNT(K$2:K$46)&gt;=4),IF(K20&lt;=QUARTILE(K$2:K$46,1),1,0),0)+IF(AND(ISNUMBER(L20),COUNT(L$2:L$46)&gt;=4),IF(L20&lt;=QUARTILE(L$2:L$46,1),1,0),0)+IF(AND(ISNUMBER(M20),COUNT(M$2:M$46)&gt;=4),IF(M20&lt;=QUARTILE(M$2:M$46,1),1,0),0)+IF(AND(ISNUMBER(N20),COUNT(N$2:N$46)&gt;=4),IF(N20&lt;=QUARTILE(N$2:N$46,1),1,0),0)+IF(AND(ISNUMBER(O20),COUNT(O$2:O$46)&gt;=4),IF(O20&lt;=QUARTILE(O$2:O$46,1),1,0),0)+IF(AND(ISNUMBER(P20),COUNT(P$2:P$46)&gt;=4),IF(P20&lt;=QUARTILE(P$2:P$46,1),1,0),0)+IF(AND(ISNUMBER(Q20),COUNT(Q$2:Q$46)&gt;=4),IF(Q20&lt;=QUARTILE(Q$2:Q$46,1),1,0),0)+IF(AND(ISNUMBER(R20),COUNT(R$2:R$46)&gt;=4),IF(R20&lt;=QUARTILE(R$2:R$46,1),1,0),0)+IF(AND(ISNUMBER(S20),COUNT(S$2:S$46)&gt;=4),IF(S20&lt;=QUARTILE(S$2:S$46,1),1,0),0)+IF(AND(ISNUMBER(T20),COUNT(T$2:T$46)&gt;=4),IF(T20&lt;=QUARTILE(T$2:T$46,1),1,0),0)+IF(AND(ISNUMBER(U20),COUNT(U$2:U$46)&gt;=4),IF(U20&lt;=QUARTILE(U$2:U$46,1),1,0),0)+IF(AND(ISNUMBER(V20),COUNT(V$2:V$46)&gt;=4),IF(V20&lt;=QUARTILE(V$2:V$46,1),1,0),0)+IF(AND(ISNUMBER(W20),COUNT(W$2:W$46)&gt;=4),IF(W20&lt;=QUARTILE(W$2:W$46,1),1,0),0)</f>
        <v/>
      </c>
      <c r="Z20" s="3">
        <f>IF(Y20=0,X20,ROUND(X20/Y20,2))</f>
        <v/>
      </c>
      <c r="AA20" s="3">
        <f>IFERROR(IF(VLOOKUP(A20,'Raw Data 3Y'!A:AP,42,FALSE)="","none",VLOOKUP(A20,'Raw Data 3Y'!A:AP,42,FALSE)),"none")</f>
        <v/>
      </c>
      <c r="AB20" s="4" t="inlineStr">
        <is>
          <t>Source</t>
        </is>
      </c>
    </row>
    <row r="21">
      <c r="A21">
        <f>'Raw Data 3Y'!A8</f>
        <v/>
      </c>
      <c r="B21" s="3">
        <f>IFERROR((('Raw Data 3Y'!C8/'Raw Data 3Y'!B8)^(1/'Raw Data 3Y'!D8)-1)*100,"")</f>
        <v/>
      </c>
      <c r="C21" s="3">
        <f>'Raw Data 3Y'!E8</f>
        <v/>
      </c>
      <c r="D21" s="3">
        <f>INT('Raw Data 3Y'!D8)</f>
        <v/>
      </c>
      <c r="E21" s="3">
        <f>IFERROR(AVERAGE(F21:W21),"")</f>
        <v/>
      </c>
      <c r="F21" s="3">
        <f>IFERROR((('Raw Data 3Y'!G8/'Raw Data 3Y'!F8)^(1/3)-1)*100,"")</f>
        <v/>
      </c>
      <c r="G21" s="3">
        <f>IFERROR((('Raw Data 3Y'!I8/'Raw Data 3Y'!H8)^(1/3)-1)*100,"")</f>
        <v/>
      </c>
      <c r="H21" s="3">
        <f>IFERROR((('Raw Data 3Y'!K8/'Raw Data 3Y'!J8)^(1/3)-1)*100,"")</f>
        <v/>
      </c>
      <c r="I21" s="3">
        <f>IFERROR((('Raw Data 3Y'!M8/'Raw Data 3Y'!L8)^(1/3)-1)*100,"")</f>
        <v/>
      </c>
      <c r="J21" s="3">
        <f>IFERROR((('Raw Data 3Y'!O8/'Raw Data 3Y'!N8)^(1/3)-1)*100,"")</f>
        <v/>
      </c>
      <c r="K21" s="3">
        <f>IFERROR((('Raw Data 3Y'!Q8/'Raw Data 3Y'!P8)^(1/3)-1)*100,"")</f>
        <v/>
      </c>
      <c r="L21" s="3">
        <f>IFERROR((('Raw Data 3Y'!S8/'Raw Data 3Y'!R8)^(1/3)-1)*100,"")</f>
        <v/>
      </c>
      <c r="M21" s="3">
        <f>IFERROR((('Raw Data 3Y'!U8/'Raw Data 3Y'!T8)^(1/3)-1)*100,"")</f>
        <v/>
      </c>
      <c r="N21" s="3">
        <f>IFERROR((('Raw Data 3Y'!W8/'Raw Data 3Y'!V8)^(1/3)-1)*100,"")</f>
        <v/>
      </c>
      <c r="O21" s="3">
        <f>IFERROR((('Raw Data 3Y'!Y8/'Raw Data 3Y'!X8)^(1/3)-1)*100,"")</f>
        <v/>
      </c>
      <c r="P21" s="3">
        <f>IFERROR((('Raw Data 3Y'!AA8/'Raw Data 3Y'!Z8)^(1/3)-1)*100,"")</f>
        <v/>
      </c>
      <c r="Q21" s="3">
        <f>IFERROR((('Raw Data 3Y'!AC8/'Raw Data 3Y'!AB8)^(1/3)-1)*100,"")</f>
        <v/>
      </c>
      <c r="R21" s="3">
        <f>IFERROR((('Raw Data 3Y'!AE8/'Raw Data 3Y'!AD8)^(1/3)-1)*100,"")</f>
        <v/>
      </c>
      <c r="S21" s="3">
        <f>IFERROR((('Raw Data 3Y'!AG8/'Raw Data 3Y'!AF8)^(1/3)-1)*100,"")</f>
        <v/>
      </c>
      <c r="T21" s="3">
        <f>IFERROR((('Raw Data 3Y'!AI8/'Raw Data 3Y'!AH8)^(1/3)-1)*100,"")</f>
        <v/>
      </c>
      <c r="U21" s="3">
        <f>IFERROR((('Raw Data 3Y'!AK8/'Raw Data 3Y'!AJ8)^(1/3)-1)*100,"")</f>
        <v/>
      </c>
      <c r="V21" s="3">
        <f>IFERROR((('Raw Data 3Y'!AM8/'Raw Data 3Y'!AL8)^(1/3)-1)*100,"")</f>
        <v/>
      </c>
      <c r="W21" s="3">
        <f>IFERROR((('Raw Data 3Y'!AO8/'Raw Data 3Y'!AN8)^(1/3)-1)*100,"")</f>
        <v/>
      </c>
      <c r="X21" s="3">
        <f>IF(AND(ISNUMBER(F21),COUNT(F$2:F$46)&gt;=4),IF(F21&gt;=QUARTILE(F$2:F$46,3),1,0),0)+IF(AND(ISNUMBER(G21),COUNT(G$2:G$46)&gt;=4),IF(G21&gt;=QUARTILE(G$2:G$46,3),1,0),0)+IF(AND(ISNUMBER(H21),COUNT(H$2:H$46)&gt;=4),IF(H21&gt;=QUARTILE(H$2:H$46,3),1,0),0)+IF(AND(ISNUMBER(I21),COUNT(I$2:I$46)&gt;=4),IF(I21&gt;=QUARTILE(I$2:I$46,3),1,0),0)+IF(AND(ISNUMBER(J21),COUNT(J$2:J$46)&gt;=4),IF(J21&gt;=QUARTILE(J$2:J$46,3),1,0),0)+IF(AND(ISNUMBER(K21),COUNT(K$2:K$46)&gt;=4),IF(K21&gt;=QUARTILE(K$2:K$46,3),1,0),0)+IF(AND(ISNUMBER(L21),COUNT(L$2:L$46)&gt;=4),IF(L21&gt;=QUARTILE(L$2:L$46,3),1,0),0)+IF(AND(ISNUMBER(M21),COUNT(M$2:M$46)&gt;=4),IF(M21&gt;=QUARTILE(M$2:M$46,3),1,0),0)+IF(AND(ISNUMBER(N21),COUNT(N$2:N$46)&gt;=4),IF(N21&gt;=QUARTILE(N$2:N$46,3),1,0),0)+IF(AND(ISNUMBER(O21),COUNT(O$2:O$46)&gt;=4),IF(O21&gt;=QUARTILE(O$2:O$46,3),1,0),0)+IF(AND(ISNUMBER(P21),COUNT(P$2:P$46)&gt;=4),IF(P21&gt;=QUARTILE(P$2:P$46,3),1,0),0)+IF(AND(ISNUMBER(Q21),COUNT(Q$2:Q$46)&gt;=4),IF(Q21&gt;=QUARTILE(Q$2:Q$46,3),1,0),0)+IF(AND(ISNUMBER(R21),COUNT(R$2:R$46)&gt;=4),IF(R21&gt;=QUARTILE(R$2:R$46,3),1,0),0)+IF(AND(ISNUMBER(S21),COUNT(S$2:S$46)&gt;=4),IF(S21&gt;=QUARTILE(S$2:S$46,3),1,0),0)+IF(AND(ISNUMBER(T21),COUNT(T$2:T$46)&gt;=4),IF(T21&gt;=QUARTILE(T$2:T$46,3),1,0),0)+IF(AND(ISNUMBER(U21),COUNT(U$2:U$46)&gt;=4),IF(U21&gt;=QUARTILE(U$2:U$46,3),1,0),0)+IF(AND(ISNUMBER(V21),COUNT(V$2:V$46)&gt;=4),IF(V21&gt;=QUARTILE(V$2:V$46,3),1,0),0)+IF(AND(ISNUMBER(W21),COUNT(W$2:W$46)&gt;=4),IF(W21&gt;=QUARTILE(W$2:W$46,3),1,0),0)</f>
        <v/>
      </c>
      <c r="Y21" s="3">
        <f>IF(AND(ISNUMBER(F21),COUNT(F$2:F$46)&gt;=4),IF(F21&lt;=QUARTILE(F$2:F$46,1),1,0),0)+IF(AND(ISNUMBER(G21),COUNT(G$2:G$46)&gt;=4),IF(G21&lt;=QUARTILE(G$2:G$46,1),1,0),0)+IF(AND(ISNUMBER(H21),COUNT(H$2:H$46)&gt;=4),IF(H21&lt;=QUARTILE(H$2:H$46,1),1,0),0)+IF(AND(ISNUMBER(I21),COUNT(I$2:I$46)&gt;=4),IF(I21&lt;=QUARTILE(I$2:I$46,1),1,0),0)+IF(AND(ISNUMBER(J21),COUNT(J$2:J$46)&gt;=4),IF(J21&lt;=QUARTILE(J$2:J$46,1),1,0),0)+IF(AND(ISNUMBER(K21),COUNT(K$2:K$46)&gt;=4),IF(K21&lt;=QUARTILE(K$2:K$46,1),1,0),0)+IF(AND(ISNUMBER(L21),COUNT(L$2:L$46)&gt;=4),IF(L21&lt;=QUARTILE(L$2:L$46,1),1,0),0)+IF(AND(ISNUMBER(M21),COUNT(M$2:M$46)&gt;=4),IF(M21&lt;=QUARTILE(M$2:M$46,1),1,0),0)+IF(AND(ISNUMBER(N21),COUNT(N$2:N$46)&gt;=4),IF(N21&lt;=QUARTILE(N$2:N$46,1),1,0),0)+IF(AND(ISNUMBER(O21),COUNT(O$2:O$46)&gt;=4),IF(O21&lt;=QUARTILE(O$2:O$46,1),1,0),0)+IF(AND(ISNUMBER(P21),COUNT(P$2:P$46)&gt;=4),IF(P21&lt;=QUARTILE(P$2:P$46,1),1,0),0)+IF(AND(ISNUMBER(Q21),COUNT(Q$2:Q$46)&gt;=4),IF(Q21&lt;=QUARTILE(Q$2:Q$46,1),1,0),0)+IF(AND(ISNUMBER(R21),COUNT(R$2:R$46)&gt;=4),IF(R21&lt;=QUARTILE(R$2:R$46,1),1,0),0)+IF(AND(ISNUMBER(S21),COUNT(S$2:S$46)&gt;=4),IF(S21&lt;=QUARTILE(S$2:S$46,1),1,0),0)+IF(AND(ISNUMBER(T21),COUNT(T$2:T$46)&gt;=4),IF(T21&lt;=QUARTILE(T$2:T$46,1),1,0),0)+IF(AND(ISNUMBER(U21),COUNT(U$2:U$46)&gt;=4),IF(U21&lt;=QUARTILE(U$2:U$46,1),1,0),0)+IF(AND(ISNUMBER(V21),COUNT(V$2:V$46)&gt;=4),IF(V21&lt;=QUARTILE(V$2:V$46,1),1,0),0)+IF(AND(ISNUMBER(W21),COUNT(W$2:W$46)&gt;=4),IF(W21&lt;=QUARTILE(W$2:W$46,1),1,0),0)</f>
        <v/>
      </c>
      <c r="Z21" s="3">
        <f>IF(Y21=0,X21,ROUND(X21/Y21,2))</f>
        <v/>
      </c>
      <c r="AA21" s="3">
        <f>IFERROR(IF(VLOOKUP(A21,'Raw Data 3Y'!A:AP,42,FALSE)="","none",VLOOKUP(A21,'Raw Data 3Y'!A:AP,42,FALSE)),"none")</f>
        <v/>
      </c>
      <c r="AB21" s="4" t="inlineStr">
        <is>
          <t>Source</t>
        </is>
      </c>
    </row>
    <row r="22">
      <c r="A22">
        <f>'Raw Data 3Y'!A38</f>
        <v/>
      </c>
      <c r="B22" s="3">
        <f>IFERROR((('Raw Data 3Y'!C38/'Raw Data 3Y'!B38)^(1/'Raw Data 3Y'!D38)-1)*100,"")</f>
        <v/>
      </c>
      <c r="C22" s="3">
        <f>'Raw Data 3Y'!E38</f>
        <v/>
      </c>
      <c r="D22" s="3">
        <f>INT('Raw Data 3Y'!D38)</f>
        <v/>
      </c>
      <c r="E22" s="3">
        <f>IFERROR(AVERAGE(F22:W22),"")</f>
        <v/>
      </c>
      <c r="F22" s="3">
        <f>IFERROR((('Raw Data 3Y'!G38/'Raw Data 3Y'!F38)^(1/3)-1)*100,"")</f>
        <v/>
      </c>
      <c r="G22" s="3">
        <f>IFERROR((('Raw Data 3Y'!I38/'Raw Data 3Y'!H38)^(1/3)-1)*100,"")</f>
        <v/>
      </c>
      <c r="H22" s="3">
        <f>IFERROR((('Raw Data 3Y'!K38/'Raw Data 3Y'!J38)^(1/3)-1)*100,"")</f>
        <v/>
      </c>
      <c r="I22" s="3">
        <f>IFERROR((('Raw Data 3Y'!M38/'Raw Data 3Y'!L38)^(1/3)-1)*100,"")</f>
        <v/>
      </c>
      <c r="J22" s="3">
        <f>IFERROR((('Raw Data 3Y'!O38/'Raw Data 3Y'!N38)^(1/3)-1)*100,"")</f>
        <v/>
      </c>
      <c r="K22" s="3">
        <f>IFERROR((('Raw Data 3Y'!Q38/'Raw Data 3Y'!P38)^(1/3)-1)*100,"")</f>
        <v/>
      </c>
      <c r="L22" s="3">
        <f>IFERROR((('Raw Data 3Y'!S38/'Raw Data 3Y'!R38)^(1/3)-1)*100,"")</f>
        <v/>
      </c>
      <c r="M22" s="3">
        <f>IFERROR((('Raw Data 3Y'!U38/'Raw Data 3Y'!T38)^(1/3)-1)*100,"")</f>
        <v/>
      </c>
      <c r="N22" s="3">
        <f>IFERROR((('Raw Data 3Y'!W38/'Raw Data 3Y'!V38)^(1/3)-1)*100,"")</f>
        <v/>
      </c>
      <c r="O22" s="3">
        <f>IFERROR((('Raw Data 3Y'!Y38/'Raw Data 3Y'!X38)^(1/3)-1)*100,"")</f>
        <v/>
      </c>
      <c r="P22" s="3">
        <f>IFERROR((('Raw Data 3Y'!AA38/'Raw Data 3Y'!Z38)^(1/3)-1)*100,"")</f>
        <v/>
      </c>
      <c r="Q22" s="3">
        <f>IFERROR((('Raw Data 3Y'!AC38/'Raw Data 3Y'!AB38)^(1/3)-1)*100,"")</f>
        <v/>
      </c>
      <c r="R22" s="3">
        <f>IFERROR((('Raw Data 3Y'!AE38/'Raw Data 3Y'!AD38)^(1/3)-1)*100,"")</f>
        <v/>
      </c>
      <c r="S22" s="3">
        <f>IFERROR((('Raw Data 3Y'!AG38/'Raw Data 3Y'!AF38)^(1/3)-1)*100,"")</f>
        <v/>
      </c>
      <c r="T22" s="3">
        <f>IFERROR((('Raw Data 3Y'!AI38/'Raw Data 3Y'!AH38)^(1/3)-1)*100,"")</f>
        <v/>
      </c>
      <c r="U22" s="3">
        <f>IFERROR((('Raw Data 3Y'!AK38/'Raw Data 3Y'!AJ38)^(1/3)-1)*100,"")</f>
        <v/>
      </c>
      <c r="V22" s="3">
        <f>IFERROR((('Raw Data 3Y'!AM38/'Raw Data 3Y'!AL38)^(1/3)-1)*100,"")</f>
        <v/>
      </c>
      <c r="W22" s="3">
        <f>IFERROR((('Raw Data 3Y'!AO38/'Raw Data 3Y'!AN38)^(1/3)-1)*100,"")</f>
        <v/>
      </c>
      <c r="X22" s="3">
        <f>IF(AND(ISNUMBER(F22),COUNT(F$2:F$46)&gt;=4),IF(F22&gt;=QUARTILE(F$2:F$46,3),1,0),0)+IF(AND(ISNUMBER(G22),COUNT(G$2:G$46)&gt;=4),IF(G22&gt;=QUARTILE(G$2:G$46,3),1,0),0)+IF(AND(ISNUMBER(H22),COUNT(H$2:H$46)&gt;=4),IF(H22&gt;=QUARTILE(H$2:H$46,3),1,0),0)+IF(AND(ISNUMBER(I22),COUNT(I$2:I$46)&gt;=4),IF(I22&gt;=QUARTILE(I$2:I$46,3),1,0),0)+IF(AND(ISNUMBER(J22),COUNT(J$2:J$46)&gt;=4),IF(J22&gt;=QUARTILE(J$2:J$46,3),1,0),0)+IF(AND(ISNUMBER(K22),COUNT(K$2:K$46)&gt;=4),IF(K22&gt;=QUARTILE(K$2:K$46,3),1,0),0)+IF(AND(ISNUMBER(L22),COUNT(L$2:L$46)&gt;=4),IF(L22&gt;=QUARTILE(L$2:L$46,3),1,0),0)+IF(AND(ISNUMBER(M22),COUNT(M$2:M$46)&gt;=4),IF(M22&gt;=QUARTILE(M$2:M$46,3),1,0),0)+IF(AND(ISNUMBER(N22),COUNT(N$2:N$46)&gt;=4),IF(N22&gt;=QUARTILE(N$2:N$46,3),1,0),0)+IF(AND(ISNUMBER(O22),COUNT(O$2:O$46)&gt;=4),IF(O22&gt;=QUARTILE(O$2:O$46,3),1,0),0)+IF(AND(ISNUMBER(P22),COUNT(P$2:P$46)&gt;=4),IF(P22&gt;=QUARTILE(P$2:P$46,3),1,0),0)+IF(AND(ISNUMBER(Q22),COUNT(Q$2:Q$46)&gt;=4),IF(Q22&gt;=QUARTILE(Q$2:Q$46,3),1,0),0)+IF(AND(ISNUMBER(R22),COUNT(R$2:R$46)&gt;=4),IF(R22&gt;=QUARTILE(R$2:R$46,3),1,0),0)+IF(AND(ISNUMBER(S22),COUNT(S$2:S$46)&gt;=4),IF(S22&gt;=QUARTILE(S$2:S$46,3),1,0),0)+IF(AND(ISNUMBER(T22),COUNT(T$2:T$46)&gt;=4),IF(T22&gt;=QUARTILE(T$2:T$46,3),1,0),0)+IF(AND(ISNUMBER(U22),COUNT(U$2:U$46)&gt;=4),IF(U22&gt;=QUARTILE(U$2:U$46,3),1,0),0)+IF(AND(ISNUMBER(V22),COUNT(V$2:V$46)&gt;=4),IF(V22&gt;=QUARTILE(V$2:V$46,3),1,0),0)+IF(AND(ISNUMBER(W22),COUNT(W$2:W$46)&gt;=4),IF(W22&gt;=QUARTILE(W$2:W$46,3),1,0),0)</f>
        <v/>
      </c>
      <c r="Y22" s="3">
        <f>IF(AND(ISNUMBER(F22),COUNT(F$2:F$46)&gt;=4),IF(F22&lt;=QUARTILE(F$2:F$46,1),1,0),0)+IF(AND(ISNUMBER(G22),COUNT(G$2:G$46)&gt;=4),IF(G22&lt;=QUARTILE(G$2:G$46,1),1,0),0)+IF(AND(ISNUMBER(H22),COUNT(H$2:H$46)&gt;=4),IF(H22&lt;=QUARTILE(H$2:H$46,1),1,0),0)+IF(AND(ISNUMBER(I22),COUNT(I$2:I$46)&gt;=4),IF(I22&lt;=QUARTILE(I$2:I$46,1),1,0),0)+IF(AND(ISNUMBER(J22),COUNT(J$2:J$46)&gt;=4),IF(J22&lt;=QUARTILE(J$2:J$46,1),1,0),0)+IF(AND(ISNUMBER(K22),COUNT(K$2:K$46)&gt;=4),IF(K22&lt;=QUARTILE(K$2:K$46,1),1,0),0)+IF(AND(ISNUMBER(L22),COUNT(L$2:L$46)&gt;=4),IF(L22&lt;=QUARTILE(L$2:L$46,1),1,0),0)+IF(AND(ISNUMBER(M22),COUNT(M$2:M$46)&gt;=4),IF(M22&lt;=QUARTILE(M$2:M$46,1),1,0),0)+IF(AND(ISNUMBER(N22),COUNT(N$2:N$46)&gt;=4),IF(N22&lt;=QUARTILE(N$2:N$46,1),1,0),0)+IF(AND(ISNUMBER(O22),COUNT(O$2:O$46)&gt;=4),IF(O22&lt;=QUARTILE(O$2:O$46,1),1,0),0)+IF(AND(ISNUMBER(P22),COUNT(P$2:P$46)&gt;=4),IF(P22&lt;=QUARTILE(P$2:P$46,1),1,0),0)+IF(AND(ISNUMBER(Q22),COUNT(Q$2:Q$46)&gt;=4),IF(Q22&lt;=QUARTILE(Q$2:Q$46,1),1,0),0)+IF(AND(ISNUMBER(R22),COUNT(R$2:R$46)&gt;=4),IF(R22&lt;=QUARTILE(R$2:R$46,1),1,0),0)+IF(AND(ISNUMBER(S22),COUNT(S$2:S$46)&gt;=4),IF(S22&lt;=QUARTILE(S$2:S$46,1),1,0),0)+IF(AND(ISNUMBER(T22),COUNT(T$2:T$46)&gt;=4),IF(T22&lt;=QUARTILE(T$2:T$46,1),1,0),0)+IF(AND(ISNUMBER(U22),COUNT(U$2:U$46)&gt;=4),IF(U22&lt;=QUARTILE(U$2:U$46,1),1,0),0)+IF(AND(ISNUMBER(V22),COUNT(V$2:V$46)&gt;=4),IF(V22&lt;=QUARTILE(V$2:V$46,1),1,0),0)+IF(AND(ISNUMBER(W22),COUNT(W$2:W$46)&gt;=4),IF(W22&lt;=QUARTILE(W$2:W$46,1),1,0),0)</f>
        <v/>
      </c>
      <c r="Z22" s="3">
        <f>IF(Y22=0,X22,ROUND(X22/Y22,2))</f>
        <v/>
      </c>
      <c r="AA22" s="3">
        <f>IFERROR(IF(VLOOKUP(A22,'Raw Data 3Y'!A:AP,42,FALSE)="","none",VLOOKUP(A22,'Raw Data 3Y'!A:AP,42,FALSE)),"none")</f>
        <v/>
      </c>
      <c r="AB22" s="4" t="inlineStr">
        <is>
          <t>Source</t>
        </is>
      </c>
    </row>
    <row r="23">
      <c r="A23">
        <f>'Raw Data 3Y'!A32</f>
        <v/>
      </c>
      <c r="B23" s="3">
        <f>IFERROR((('Raw Data 3Y'!C32/'Raw Data 3Y'!B32)^(1/'Raw Data 3Y'!D32)-1)*100,"")</f>
        <v/>
      </c>
      <c r="C23" s="3">
        <f>'Raw Data 3Y'!E32</f>
        <v/>
      </c>
      <c r="D23" s="3">
        <f>INT('Raw Data 3Y'!D32)</f>
        <v/>
      </c>
      <c r="E23" s="3">
        <f>IFERROR(AVERAGE(F23:W23),"")</f>
        <v/>
      </c>
      <c r="F23" s="3">
        <f>IFERROR((('Raw Data 3Y'!G32/'Raw Data 3Y'!F32)^(1/3)-1)*100,"")</f>
        <v/>
      </c>
      <c r="G23" s="3">
        <f>IFERROR((('Raw Data 3Y'!I32/'Raw Data 3Y'!H32)^(1/3)-1)*100,"")</f>
        <v/>
      </c>
      <c r="H23" s="3">
        <f>IFERROR((('Raw Data 3Y'!K32/'Raw Data 3Y'!J32)^(1/3)-1)*100,"")</f>
        <v/>
      </c>
      <c r="I23" s="3">
        <f>IFERROR((('Raw Data 3Y'!M32/'Raw Data 3Y'!L32)^(1/3)-1)*100,"")</f>
        <v/>
      </c>
      <c r="J23" s="3">
        <f>IFERROR((('Raw Data 3Y'!O32/'Raw Data 3Y'!N32)^(1/3)-1)*100,"")</f>
        <v/>
      </c>
      <c r="K23" s="3">
        <f>IFERROR((('Raw Data 3Y'!Q32/'Raw Data 3Y'!P32)^(1/3)-1)*100,"")</f>
        <v/>
      </c>
      <c r="L23" s="3">
        <f>IFERROR((('Raw Data 3Y'!S32/'Raw Data 3Y'!R32)^(1/3)-1)*100,"")</f>
        <v/>
      </c>
      <c r="M23" s="3">
        <f>IFERROR((('Raw Data 3Y'!U32/'Raw Data 3Y'!T32)^(1/3)-1)*100,"")</f>
        <v/>
      </c>
      <c r="N23" s="3">
        <f>IFERROR((('Raw Data 3Y'!W32/'Raw Data 3Y'!V32)^(1/3)-1)*100,"")</f>
        <v/>
      </c>
      <c r="O23" s="3">
        <f>IFERROR((('Raw Data 3Y'!Y32/'Raw Data 3Y'!X32)^(1/3)-1)*100,"")</f>
        <v/>
      </c>
      <c r="P23" s="3">
        <f>IFERROR((('Raw Data 3Y'!AA32/'Raw Data 3Y'!Z32)^(1/3)-1)*100,"")</f>
        <v/>
      </c>
      <c r="Q23" s="3">
        <f>IFERROR((('Raw Data 3Y'!AC32/'Raw Data 3Y'!AB32)^(1/3)-1)*100,"")</f>
        <v/>
      </c>
      <c r="R23" s="3">
        <f>IFERROR((('Raw Data 3Y'!AE32/'Raw Data 3Y'!AD32)^(1/3)-1)*100,"")</f>
        <v/>
      </c>
      <c r="S23" s="3">
        <f>IFERROR((('Raw Data 3Y'!AG32/'Raw Data 3Y'!AF32)^(1/3)-1)*100,"")</f>
        <v/>
      </c>
      <c r="T23" s="3">
        <f>IFERROR((('Raw Data 3Y'!AI32/'Raw Data 3Y'!AH32)^(1/3)-1)*100,"")</f>
        <v/>
      </c>
      <c r="U23" s="3">
        <f>IFERROR((('Raw Data 3Y'!AK32/'Raw Data 3Y'!AJ32)^(1/3)-1)*100,"")</f>
        <v/>
      </c>
      <c r="V23" s="3">
        <f>IFERROR((('Raw Data 3Y'!AM32/'Raw Data 3Y'!AL32)^(1/3)-1)*100,"")</f>
        <v/>
      </c>
      <c r="W23" s="3">
        <f>IFERROR((('Raw Data 3Y'!AO32/'Raw Data 3Y'!AN32)^(1/3)-1)*100,"")</f>
        <v/>
      </c>
      <c r="X23" s="3">
        <f>IF(AND(ISNUMBER(F23),COUNT(F$2:F$46)&gt;=4),IF(F23&gt;=QUARTILE(F$2:F$46,3),1,0),0)+IF(AND(ISNUMBER(G23),COUNT(G$2:G$46)&gt;=4),IF(G23&gt;=QUARTILE(G$2:G$46,3),1,0),0)+IF(AND(ISNUMBER(H23),COUNT(H$2:H$46)&gt;=4),IF(H23&gt;=QUARTILE(H$2:H$46,3),1,0),0)+IF(AND(ISNUMBER(I23),COUNT(I$2:I$46)&gt;=4),IF(I23&gt;=QUARTILE(I$2:I$46,3),1,0),0)+IF(AND(ISNUMBER(J23),COUNT(J$2:J$46)&gt;=4),IF(J23&gt;=QUARTILE(J$2:J$46,3),1,0),0)+IF(AND(ISNUMBER(K23),COUNT(K$2:K$46)&gt;=4),IF(K23&gt;=QUARTILE(K$2:K$46,3),1,0),0)+IF(AND(ISNUMBER(L23),COUNT(L$2:L$46)&gt;=4),IF(L23&gt;=QUARTILE(L$2:L$46,3),1,0),0)+IF(AND(ISNUMBER(M23),COUNT(M$2:M$46)&gt;=4),IF(M23&gt;=QUARTILE(M$2:M$46,3),1,0),0)+IF(AND(ISNUMBER(N23),COUNT(N$2:N$46)&gt;=4),IF(N23&gt;=QUARTILE(N$2:N$46,3),1,0),0)+IF(AND(ISNUMBER(O23),COUNT(O$2:O$46)&gt;=4),IF(O23&gt;=QUARTILE(O$2:O$46,3),1,0),0)+IF(AND(ISNUMBER(P23),COUNT(P$2:P$46)&gt;=4),IF(P23&gt;=QUARTILE(P$2:P$46,3),1,0),0)+IF(AND(ISNUMBER(Q23),COUNT(Q$2:Q$46)&gt;=4),IF(Q23&gt;=QUARTILE(Q$2:Q$46,3),1,0),0)+IF(AND(ISNUMBER(R23),COUNT(R$2:R$46)&gt;=4),IF(R23&gt;=QUARTILE(R$2:R$46,3),1,0),0)+IF(AND(ISNUMBER(S23),COUNT(S$2:S$46)&gt;=4),IF(S23&gt;=QUARTILE(S$2:S$46,3),1,0),0)+IF(AND(ISNUMBER(T23),COUNT(T$2:T$46)&gt;=4),IF(T23&gt;=QUARTILE(T$2:T$46,3),1,0),0)+IF(AND(ISNUMBER(U23),COUNT(U$2:U$46)&gt;=4),IF(U23&gt;=QUARTILE(U$2:U$46,3),1,0),0)+IF(AND(ISNUMBER(V23),COUNT(V$2:V$46)&gt;=4),IF(V23&gt;=QUARTILE(V$2:V$46,3),1,0),0)+IF(AND(ISNUMBER(W23),COUNT(W$2:W$46)&gt;=4),IF(W23&gt;=QUARTILE(W$2:W$46,3),1,0),0)</f>
        <v/>
      </c>
      <c r="Y23" s="3">
        <f>IF(AND(ISNUMBER(F23),COUNT(F$2:F$46)&gt;=4),IF(F23&lt;=QUARTILE(F$2:F$46,1),1,0),0)+IF(AND(ISNUMBER(G23),COUNT(G$2:G$46)&gt;=4),IF(G23&lt;=QUARTILE(G$2:G$46,1),1,0),0)+IF(AND(ISNUMBER(H23),COUNT(H$2:H$46)&gt;=4),IF(H23&lt;=QUARTILE(H$2:H$46,1),1,0),0)+IF(AND(ISNUMBER(I23),COUNT(I$2:I$46)&gt;=4),IF(I23&lt;=QUARTILE(I$2:I$46,1),1,0),0)+IF(AND(ISNUMBER(J23),COUNT(J$2:J$46)&gt;=4),IF(J23&lt;=QUARTILE(J$2:J$46,1),1,0),0)+IF(AND(ISNUMBER(K23),COUNT(K$2:K$46)&gt;=4),IF(K23&lt;=QUARTILE(K$2:K$46,1),1,0),0)+IF(AND(ISNUMBER(L23),COUNT(L$2:L$46)&gt;=4),IF(L23&lt;=QUARTILE(L$2:L$46,1),1,0),0)+IF(AND(ISNUMBER(M23),COUNT(M$2:M$46)&gt;=4),IF(M23&lt;=QUARTILE(M$2:M$46,1),1,0),0)+IF(AND(ISNUMBER(N23),COUNT(N$2:N$46)&gt;=4),IF(N23&lt;=QUARTILE(N$2:N$46,1),1,0),0)+IF(AND(ISNUMBER(O23),COUNT(O$2:O$46)&gt;=4),IF(O23&lt;=QUARTILE(O$2:O$46,1),1,0),0)+IF(AND(ISNUMBER(P23),COUNT(P$2:P$46)&gt;=4),IF(P23&lt;=QUARTILE(P$2:P$46,1),1,0),0)+IF(AND(ISNUMBER(Q23),COUNT(Q$2:Q$46)&gt;=4),IF(Q23&lt;=QUARTILE(Q$2:Q$46,1),1,0),0)+IF(AND(ISNUMBER(R23),COUNT(R$2:R$46)&gt;=4),IF(R23&lt;=QUARTILE(R$2:R$46,1),1,0),0)+IF(AND(ISNUMBER(S23),COUNT(S$2:S$46)&gt;=4),IF(S23&lt;=QUARTILE(S$2:S$46,1),1,0),0)+IF(AND(ISNUMBER(T23),COUNT(T$2:T$46)&gt;=4),IF(T23&lt;=QUARTILE(T$2:T$46,1),1,0),0)+IF(AND(ISNUMBER(U23),COUNT(U$2:U$46)&gt;=4),IF(U23&lt;=QUARTILE(U$2:U$46,1),1,0),0)+IF(AND(ISNUMBER(V23),COUNT(V$2:V$46)&gt;=4),IF(V23&lt;=QUARTILE(V$2:V$46,1),1,0),0)+IF(AND(ISNUMBER(W23),COUNT(W$2:W$46)&gt;=4),IF(W23&lt;=QUARTILE(W$2:W$46,1),1,0),0)</f>
        <v/>
      </c>
      <c r="Z23" s="3">
        <f>IF(Y23=0,X23,ROUND(X23/Y23,2))</f>
        <v/>
      </c>
      <c r="AA23" s="3">
        <f>IFERROR(IF(VLOOKUP(A23,'Raw Data 3Y'!A:AP,42,FALSE)="","none",VLOOKUP(A23,'Raw Data 3Y'!A:AP,42,FALSE)),"none")</f>
        <v/>
      </c>
      <c r="AB23" s="4" t="inlineStr">
        <is>
          <t>Source</t>
        </is>
      </c>
    </row>
    <row r="24">
      <c r="A24">
        <f>'Raw Data 3Y'!A26</f>
        <v/>
      </c>
      <c r="B24" s="3">
        <f>IFERROR((('Raw Data 3Y'!C26/'Raw Data 3Y'!B26)^(1/'Raw Data 3Y'!D26)-1)*100,"")</f>
        <v/>
      </c>
      <c r="C24" s="3">
        <f>'Raw Data 3Y'!E26</f>
        <v/>
      </c>
      <c r="D24" s="3">
        <f>INT('Raw Data 3Y'!D26)</f>
        <v/>
      </c>
      <c r="E24" s="3">
        <f>IFERROR(AVERAGE(F24:W24),"")</f>
        <v/>
      </c>
      <c r="F24" s="3">
        <f>IFERROR((('Raw Data 3Y'!G26/'Raw Data 3Y'!F26)^(1/3)-1)*100,"")</f>
        <v/>
      </c>
      <c r="G24" s="3">
        <f>IFERROR((('Raw Data 3Y'!I26/'Raw Data 3Y'!H26)^(1/3)-1)*100,"")</f>
        <v/>
      </c>
      <c r="H24" s="3">
        <f>IFERROR((('Raw Data 3Y'!K26/'Raw Data 3Y'!J26)^(1/3)-1)*100,"")</f>
        <v/>
      </c>
      <c r="I24" s="3">
        <f>IFERROR((('Raw Data 3Y'!M26/'Raw Data 3Y'!L26)^(1/3)-1)*100,"")</f>
        <v/>
      </c>
      <c r="J24" s="3">
        <f>IFERROR((('Raw Data 3Y'!O26/'Raw Data 3Y'!N26)^(1/3)-1)*100,"")</f>
        <v/>
      </c>
      <c r="K24" s="3">
        <f>IFERROR((('Raw Data 3Y'!Q26/'Raw Data 3Y'!P26)^(1/3)-1)*100,"")</f>
        <v/>
      </c>
      <c r="L24" s="3">
        <f>IFERROR((('Raw Data 3Y'!S26/'Raw Data 3Y'!R26)^(1/3)-1)*100,"")</f>
        <v/>
      </c>
      <c r="M24" s="3">
        <f>IFERROR((('Raw Data 3Y'!U26/'Raw Data 3Y'!T26)^(1/3)-1)*100,"")</f>
        <v/>
      </c>
      <c r="N24" s="3">
        <f>IFERROR((('Raw Data 3Y'!W26/'Raw Data 3Y'!V26)^(1/3)-1)*100,"")</f>
        <v/>
      </c>
      <c r="O24" s="3">
        <f>IFERROR((('Raw Data 3Y'!Y26/'Raw Data 3Y'!X26)^(1/3)-1)*100,"")</f>
        <v/>
      </c>
      <c r="P24" s="3">
        <f>IFERROR((('Raw Data 3Y'!AA26/'Raw Data 3Y'!Z26)^(1/3)-1)*100,"")</f>
        <v/>
      </c>
      <c r="Q24" s="3">
        <f>IFERROR((('Raw Data 3Y'!AC26/'Raw Data 3Y'!AB26)^(1/3)-1)*100,"")</f>
        <v/>
      </c>
      <c r="R24" s="3">
        <f>IFERROR((('Raw Data 3Y'!AE26/'Raw Data 3Y'!AD26)^(1/3)-1)*100,"")</f>
        <v/>
      </c>
      <c r="S24" s="3">
        <f>IFERROR((('Raw Data 3Y'!AG26/'Raw Data 3Y'!AF26)^(1/3)-1)*100,"")</f>
        <v/>
      </c>
      <c r="T24" s="3">
        <f>IFERROR((('Raw Data 3Y'!AI26/'Raw Data 3Y'!AH26)^(1/3)-1)*100,"")</f>
        <v/>
      </c>
      <c r="U24" s="3">
        <f>IFERROR((('Raw Data 3Y'!AK26/'Raw Data 3Y'!AJ26)^(1/3)-1)*100,"")</f>
        <v/>
      </c>
      <c r="V24" s="3">
        <f>IFERROR((('Raw Data 3Y'!AM26/'Raw Data 3Y'!AL26)^(1/3)-1)*100,"")</f>
        <v/>
      </c>
      <c r="W24" s="3">
        <f>IFERROR((('Raw Data 3Y'!AO26/'Raw Data 3Y'!AN26)^(1/3)-1)*100,"")</f>
        <v/>
      </c>
      <c r="X24" s="3">
        <f>IF(AND(ISNUMBER(F24),COUNT(F$2:F$46)&gt;=4),IF(F24&gt;=QUARTILE(F$2:F$46,3),1,0),0)+IF(AND(ISNUMBER(G24),COUNT(G$2:G$46)&gt;=4),IF(G24&gt;=QUARTILE(G$2:G$46,3),1,0),0)+IF(AND(ISNUMBER(H24),COUNT(H$2:H$46)&gt;=4),IF(H24&gt;=QUARTILE(H$2:H$46,3),1,0),0)+IF(AND(ISNUMBER(I24),COUNT(I$2:I$46)&gt;=4),IF(I24&gt;=QUARTILE(I$2:I$46,3),1,0),0)+IF(AND(ISNUMBER(J24),COUNT(J$2:J$46)&gt;=4),IF(J24&gt;=QUARTILE(J$2:J$46,3),1,0),0)+IF(AND(ISNUMBER(K24),COUNT(K$2:K$46)&gt;=4),IF(K24&gt;=QUARTILE(K$2:K$46,3),1,0),0)+IF(AND(ISNUMBER(L24),COUNT(L$2:L$46)&gt;=4),IF(L24&gt;=QUARTILE(L$2:L$46,3),1,0),0)+IF(AND(ISNUMBER(M24),COUNT(M$2:M$46)&gt;=4),IF(M24&gt;=QUARTILE(M$2:M$46,3),1,0),0)+IF(AND(ISNUMBER(N24),COUNT(N$2:N$46)&gt;=4),IF(N24&gt;=QUARTILE(N$2:N$46,3),1,0),0)+IF(AND(ISNUMBER(O24),COUNT(O$2:O$46)&gt;=4),IF(O24&gt;=QUARTILE(O$2:O$46,3),1,0),0)+IF(AND(ISNUMBER(P24),COUNT(P$2:P$46)&gt;=4),IF(P24&gt;=QUARTILE(P$2:P$46,3),1,0),0)+IF(AND(ISNUMBER(Q24),COUNT(Q$2:Q$46)&gt;=4),IF(Q24&gt;=QUARTILE(Q$2:Q$46,3),1,0),0)+IF(AND(ISNUMBER(R24),COUNT(R$2:R$46)&gt;=4),IF(R24&gt;=QUARTILE(R$2:R$46,3),1,0),0)+IF(AND(ISNUMBER(S24),COUNT(S$2:S$46)&gt;=4),IF(S24&gt;=QUARTILE(S$2:S$46,3),1,0),0)+IF(AND(ISNUMBER(T24),COUNT(T$2:T$46)&gt;=4),IF(T24&gt;=QUARTILE(T$2:T$46,3),1,0),0)+IF(AND(ISNUMBER(U24),COUNT(U$2:U$46)&gt;=4),IF(U24&gt;=QUARTILE(U$2:U$46,3),1,0),0)+IF(AND(ISNUMBER(V24),COUNT(V$2:V$46)&gt;=4),IF(V24&gt;=QUARTILE(V$2:V$46,3),1,0),0)+IF(AND(ISNUMBER(W24),COUNT(W$2:W$46)&gt;=4),IF(W24&gt;=QUARTILE(W$2:W$46,3),1,0),0)</f>
        <v/>
      </c>
      <c r="Y24" s="3">
        <f>IF(AND(ISNUMBER(F24),COUNT(F$2:F$46)&gt;=4),IF(F24&lt;=QUARTILE(F$2:F$46,1),1,0),0)+IF(AND(ISNUMBER(G24),COUNT(G$2:G$46)&gt;=4),IF(G24&lt;=QUARTILE(G$2:G$46,1),1,0),0)+IF(AND(ISNUMBER(H24),COUNT(H$2:H$46)&gt;=4),IF(H24&lt;=QUARTILE(H$2:H$46,1),1,0),0)+IF(AND(ISNUMBER(I24),COUNT(I$2:I$46)&gt;=4),IF(I24&lt;=QUARTILE(I$2:I$46,1),1,0),0)+IF(AND(ISNUMBER(J24),COUNT(J$2:J$46)&gt;=4),IF(J24&lt;=QUARTILE(J$2:J$46,1),1,0),0)+IF(AND(ISNUMBER(K24),COUNT(K$2:K$46)&gt;=4),IF(K24&lt;=QUARTILE(K$2:K$46,1),1,0),0)+IF(AND(ISNUMBER(L24),COUNT(L$2:L$46)&gt;=4),IF(L24&lt;=QUARTILE(L$2:L$46,1),1,0),0)+IF(AND(ISNUMBER(M24),COUNT(M$2:M$46)&gt;=4),IF(M24&lt;=QUARTILE(M$2:M$46,1),1,0),0)+IF(AND(ISNUMBER(N24),COUNT(N$2:N$46)&gt;=4),IF(N24&lt;=QUARTILE(N$2:N$46,1),1,0),0)+IF(AND(ISNUMBER(O24),COUNT(O$2:O$46)&gt;=4),IF(O24&lt;=QUARTILE(O$2:O$46,1),1,0),0)+IF(AND(ISNUMBER(P24),COUNT(P$2:P$46)&gt;=4),IF(P24&lt;=QUARTILE(P$2:P$46,1),1,0),0)+IF(AND(ISNUMBER(Q24),COUNT(Q$2:Q$46)&gt;=4),IF(Q24&lt;=QUARTILE(Q$2:Q$46,1),1,0),0)+IF(AND(ISNUMBER(R24),COUNT(R$2:R$46)&gt;=4),IF(R24&lt;=QUARTILE(R$2:R$46,1),1,0),0)+IF(AND(ISNUMBER(S24),COUNT(S$2:S$46)&gt;=4),IF(S24&lt;=QUARTILE(S$2:S$46,1),1,0),0)+IF(AND(ISNUMBER(T24),COUNT(T$2:T$46)&gt;=4),IF(T24&lt;=QUARTILE(T$2:T$46,1),1,0),0)+IF(AND(ISNUMBER(U24),COUNT(U$2:U$46)&gt;=4),IF(U24&lt;=QUARTILE(U$2:U$46,1),1,0),0)+IF(AND(ISNUMBER(V24),COUNT(V$2:V$46)&gt;=4),IF(V24&lt;=QUARTILE(V$2:V$46,1),1,0),0)+IF(AND(ISNUMBER(W24),COUNT(W$2:W$46)&gt;=4),IF(W24&lt;=QUARTILE(W$2:W$46,1),1,0),0)</f>
        <v/>
      </c>
      <c r="Z24" s="3">
        <f>IF(Y24=0,X24,ROUND(X24/Y24,2))</f>
        <v/>
      </c>
      <c r="AA24" s="3">
        <f>IFERROR(IF(VLOOKUP(A24,'Raw Data 3Y'!A:AP,42,FALSE)="","none",VLOOKUP(A24,'Raw Data 3Y'!A:AP,42,FALSE)),"none")</f>
        <v/>
      </c>
      <c r="AB24" s="4" t="inlineStr">
        <is>
          <t>Source</t>
        </is>
      </c>
    </row>
    <row r="25">
      <c r="A25">
        <f>'Raw Data 3Y'!A13</f>
        <v/>
      </c>
      <c r="B25" s="3">
        <f>IFERROR((('Raw Data 3Y'!C13/'Raw Data 3Y'!B13)^(1/'Raw Data 3Y'!D13)-1)*100,"")</f>
        <v/>
      </c>
      <c r="C25" s="3">
        <f>'Raw Data 3Y'!E13</f>
        <v/>
      </c>
      <c r="D25" s="3">
        <f>INT('Raw Data 3Y'!D13)</f>
        <v/>
      </c>
      <c r="E25" s="3">
        <f>IFERROR(AVERAGE(F25:W25),"")</f>
        <v/>
      </c>
      <c r="F25" s="3">
        <f>IFERROR((('Raw Data 3Y'!G13/'Raw Data 3Y'!F13)^(1/3)-1)*100,"")</f>
        <v/>
      </c>
      <c r="G25" s="3">
        <f>IFERROR((('Raw Data 3Y'!I13/'Raw Data 3Y'!H13)^(1/3)-1)*100,"")</f>
        <v/>
      </c>
      <c r="H25" s="3">
        <f>IFERROR((('Raw Data 3Y'!K13/'Raw Data 3Y'!J13)^(1/3)-1)*100,"")</f>
        <v/>
      </c>
      <c r="I25" s="3">
        <f>IFERROR((('Raw Data 3Y'!M13/'Raw Data 3Y'!L13)^(1/3)-1)*100,"")</f>
        <v/>
      </c>
      <c r="J25" s="3">
        <f>IFERROR((('Raw Data 3Y'!O13/'Raw Data 3Y'!N13)^(1/3)-1)*100,"")</f>
        <v/>
      </c>
      <c r="K25" s="3">
        <f>IFERROR((('Raw Data 3Y'!Q13/'Raw Data 3Y'!P13)^(1/3)-1)*100,"")</f>
        <v/>
      </c>
      <c r="L25" s="3">
        <f>IFERROR((('Raw Data 3Y'!S13/'Raw Data 3Y'!R13)^(1/3)-1)*100,"")</f>
        <v/>
      </c>
      <c r="M25" s="3">
        <f>IFERROR((('Raw Data 3Y'!U13/'Raw Data 3Y'!T13)^(1/3)-1)*100,"")</f>
        <v/>
      </c>
      <c r="N25" s="3">
        <f>IFERROR((('Raw Data 3Y'!W13/'Raw Data 3Y'!V13)^(1/3)-1)*100,"")</f>
        <v/>
      </c>
      <c r="O25" s="3">
        <f>IFERROR((('Raw Data 3Y'!Y13/'Raw Data 3Y'!X13)^(1/3)-1)*100,"")</f>
        <v/>
      </c>
      <c r="P25" s="3">
        <f>IFERROR((('Raw Data 3Y'!AA13/'Raw Data 3Y'!Z13)^(1/3)-1)*100,"")</f>
        <v/>
      </c>
      <c r="Q25" s="3">
        <f>IFERROR((('Raw Data 3Y'!AC13/'Raw Data 3Y'!AB13)^(1/3)-1)*100,"")</f>
        <v/>
      </c>
      <c r="R25" s="3">
        <f>IFERROR((('Raw Data 3Y'!AE13/'Raw Data 3Y'!AD13)^(1/3)-1)*100,"")</f>
        <v/>
      </c>
      <c r="S25" s="3">
        <f>IFERROR((('Raw Data 3Y'!AG13/'Raw Data 3Y'!AF13)^(1/3)-1)*100,"")</f>
        <v/>
      </c>
      <c r="T25" s="3">
        <f>IFERROR((('Raw Data 3Y'!AI13/'Raw Data 3Y'!AH13)^(1/3)-1)*100,"")</f>
        <v/>
      </c>
      <c r="U25" s="3">
        <f>IFERROR((('Raw Data 3Y'!AK13/'Raw Data 3Y'!AJ13)^(1/3)-1)*100,"")</f>
        <v/>
      </c>
      <c r="V25" s="3">
        <f>IFERROR((('Raw Data 3Y'!AM13/'Raw Data 3Y'!AL13)^(1/3)-1)*100,"")</f>
        <v/>
      </c>
      <c r="W25" s="3">
        <f>IFERROR((('Raw Data 3Y'!AO13/'Raw Data 3Y'!AN13)^(1/3)-1)*100,"")</f>
        <v/>
      </c>
      <c r="X25" s="3">
        <f>IF(AND(ISNUMBER(F25),COUNT(F$2:F$46)&gt;=4),IF(F25&gt;=QUARTILE(F$2:F$46,3),1,0),0)+IF(AND(ISNUMBER(G25),COUNT(G$2:G$46)&gt;=4),IF(G25&gt;=QUARTILE(G$2:G$46,3),1,0),0)+IF(AND(ISNUMBER(H25),COUNT(H$2:H$46)&gt;=4),IF(H25&gt;=QUARTILE(H$2:H$46,3),1,0),0)+IF(AND(ISNUMBER(I25),COUNT(I$2:I$46)&gt;=4),IF(I25&gt;=QUARTILE(I$2:I$46,3),1,0),0)+IF(AND(ISNUMBER(J25),COUNT(J$2:J$46)&gt;=4),IF(J25&gt;=QUARTILE(J$2:J$46,3),1,0),0)+IF(AND(ISNUMBER(K25),COUNT(K$2:K$46)&gt;=4),IF(K25&gt;=QUARTILE(K$2:K$46,3),1,0),0)+IF(AND(ISNUMBER(L25),COUNT(L$2:L$46)&gt;=4),IF(L25&gt;=QUARTILE(L$2:L$46,3),1,0),0)+IF(AND(ISNUMBER(M25),COUNT(M$2:M$46)&gt;=4),IF(M25&gt;=QUARTILE(M$2:M$46,3),1,0),0)+IF(AND(ISNUMBER(N25),COUNT(N$2:N$46)&gt;=4),IF(N25&gt;=QUARTILE(N$2:N$46,3),1,0),0)+IF(AND(ISNUMBER(O25),COUNT(O$2:O$46)&gt;=4),IF(O25&gt;=QUARTILE(O$2:O$46,3),1,0),0)+IF(AND(ISNUMBER(P25),COUNT(P$2:P$46)&gt;=4),IF(P25&gt;=QUARTILE(P$2:P$46,3),1,0),0)+IF(AND(ISNUMBER(Q25),COUNT(Q$2:Q$46)&gt;=4),IF(Q25&gt;=QUARTILE(Q$2:Q$46,3),1,0),0)+IF(AND(ISNUMBER(R25),COUNT(R$2:R$46)&gt;=4),IF(R25&gt;=QUARTILE(R$2:R$46,3),1,0),0)+IF(AND(ISNUMBER(S25),COUNT(S$2:S$46)&gt;=4),IF(S25&gt;=QUARTILE(S$2:S$46,3),1,0),0)+IF(AND(ISNUMBER(T25),COUNT(T$2:T$46)&gt;=4),IF(T25&gt;=QUARTILE(T$2:T$46,3),1,0),0)+IF(AND(ISNUMBER(U25),COUNT(U$2:U$46)&gt;=4),IF(U25&gt;=QUARTILE(U$2:U$46,3),1,0),0)+IF(AND(ISNUMBER(V25),COUNT(V$2:V$46)&gt;=4),IF(V25&gt;=QUARTILE(V$2:V$46,3),1,0),0)+IF(AND(ISNUMBER(W25),COUNT(W$2:W$46)&gt;=4),IF(W25&gt;=QUARTILE(W$2:W$46,3),1,0),0)</f>
        <v/>
      </c>
      <c r="Y25" s="3">
        <f>IF(AND(ISNUMBER(F25),COUNT(F$2:F$46)&gt;=4),IF(F25&lt;=QUARTILE(F$2:F$46,1),1,0),0)+IF(AND(ISNUMBER(G25),COUNT(G$2:G$46)&gt;=4),IF(G25&lt;=QUARTILE(G$2:G$46,1),1,0),0)+IF(AND(ISNUMBER(H25),COUNT(H$2:H$46)&gt;=4),IF(H25&lt;=QUARTILE(H$2:H$46,1),1,0),0)+IF(AND(ISNUMBER(I25),COUNT(I$2:I$46)&gt;=4),IF(I25&lt;=QUARTILE(I$2:I$46,1),1,0),0)+IF(AND(ISNUMBER(J25),COUNT(J$2:J$46)&gt;=4),IF(J25&lt;=QUARTILE(J$2:J$46,1),1,0),0)+IF(AND(ISNUMBER(K25),COUNT(K$2:K$46)&gt;=4),IF(K25&lt;=QUARTILE(K$2:K$46,1),1,0),0)+IF(AND(ISNUMBER(L25),COUNT(L$2:L$46)&gt;=4),IF(L25&lt;=QUARTILE(L$2:L$46,1),1,0),0)+IF(AND(ISNUMBER(M25),COUNT(M$2:M$46)&gt;=4),IF(M25&lt;=QUARTILE(M$2:M$46,1),1,0),0)+IF(AND(ISNUMBER(N25),COUNT(N$2:N$46)&gt;=4),IF(N25&lt;=QUARTILE(N$2:N$46,1),1,0),0)+IF(AND(ISNUMBER(O25),COUNT(O$2:O$46)&gt;=4),IF(O25&lt;=QUARTILE(O$2:O$46,1),1,0),0)+IF(AND(ISNUMBER(P25),COUNT(P$2:P$46)&gt;=4),IF(P25&lt;=QUARTILE(P$2:P$46,1),1,0),0)+IF(AND(ISNUMBER(Q25),COUNT(Q$2:Q$46)&gt;=4),IF(Q25&lt;=QUARTILE(Q$2:Q$46,1),1,0),0)+IF(AND(ISNUMBER(R25),COUNT(R$2:R$46)&gt;=4),IF(R25&lt;=QUARTILE(R$2:R$46,1),1,0),0)+IF(AND(ISNUMBER(S25),COUNT(S$2:S$46)&gt;=4),IF(S25&lt;=QUARTILE(S$2:S$46,1),1,0),0)+IF(AND(ISNUMBER(T25),COUNT(T$2:T$46)&gt;=4),IF(T25&lt;=QUARTILE(T$2:T$46,1),1,0),0)+IF(AND(ISNUMBER(U25),COUNT(U$2:U$46)&gt;=4),IF(U25&lt;=QUARTILE(U$2:U$46,1),1,0),0)+IF(AND(ISNUMBER(V25),COUNT(V$2:V$46)&gt;=4),IF(V25&lt;=QUARTILE(V$2:V$46,1),1,0),0)+IF(AND(ISNUMBER(W25),COUNT(W$2:W$46)&gt;=4),IF(W25&lt;=QUARTILE(W$2:W$46,1),1,0),0)</f>
        <v/>
      </c>
      <c r="Z25" s="3">
        <f>IF(Y25=0,X25,ROUND(X25/Y25,2))</f>
        <v/>
      </c>
      <c r="AA25" s="3">
        <f>IFERROR(IF(VLOOKUP(A25,'Raw Data 3Y'!A:AP,42,FALSE)="","none",VLOOKUP(A25,'Raw Data 3Y'!A:AP,42,FALSE)),"none")</f>
        <v/>
      </c>
      <c r="AB25" s="4" t="inlineStr">
        <is>
          <t>Source</t>
        </is>
      </c>
    </row>
    <row r="26">
      <c r="A26">
        <f>'Raw Data 3Y'!A27</f>
        <v/>
      </c>
      <c r="B26" s="3">
        <f>IFERROR((('Raw Data 3Y'!C27/'Raw Data 3Y'!B27)^(1/'Raw Data 3Y'!D27)-1)*100,"")</f>
        <v/>
      </c>
      <c r="C26" s="3">
        <f>'Raw Data 3Y'!E27</f>
        <v/>
      </c>
      <c r="D26" s="3">
        <f>INT('Raw Data 3Y'!D27)</f>
        <v/>
      </c>
      <c r="E26" s="3">
        <f>IFERROR(AVERAGE(F26:W26),"")</f>
        <v/>
      </c>
      <c r="F26" s="3">
        <f>IFERROR((('Raw Data 3Y'!G27/'Raw Data 3Y'!F27)^(1/3)-1)*100,"")</f>
        <v/>
      </c>
      <c r="G26" s="3">
        <f>IFERROR((('Raw Data 3Y'!I27/'Raw Data 3Y'!H27)^(1/3)-1)*100,"")</f>
        <v/>
      </c>
      <c r="H26" s="3">
        <f>IFERROR((('Raw Data 3Y'!K27/'Raw Data 3Y'!J27)^(1/3)-1)*100,"")</f>
        <v/>
      </c>
      <c r="I26" s="3">
        <f>IFERROR((('Raw Data 3Y'!M27/'Raw Data 3Y'!L27)^(1/3)-1)*100,"")</f>
        <v/>
      </c>
      <c r="J26" s="3">
        <f>IFERROR((('Raw Data 3Y'!O27/'Raw Data 3Y'!N27)^(1/3)-1)*100,"")</f>
        <v/>
      </c>
      <c r="K26" s="3">
        <f>IFERROR((('Raw Data 3Y'!Q27/'Raw Data 3Y'!P27)^(1/3)-1)*100,"")</f>
        <v/>
      </c>
      <c r="L26" s="3">
        <f>IFERROR((('Raw Data 3Y'!S27/'Raw Data 3Y'!R27)^(1/3)-1)*100,"")</f>
        <v/>
      </c>
      <c r="M26" s="3">
        <f>IFERROR((('Raw Data 3Y'!U27/'Raw Data 3Y'!T27)^(1/3)-1)*100,"")</f>
        <v/>
      </c>
      <c r="N26" s="3">
        <f>IFERROR((('Raw Data 3Y'!W27/'Raw Data 3Y'!V27)^(1/3)-1)*100,"")</f>
        <v/>
      </c>
      <c r="O26" s="3">
        <f>IFERROR((('Raw Data 3Y'!Y27/'Raw Data 3Y'!X27)^(1/3)-1)*100,"")</f>
        <v/>
      </c>
      <c r="P26" s="3">
        <f>IFERROR((('Raw Data 3Y'!AA27/'Raw Data 3Y'!Z27)^(1/3)-1)*100,"")</f>
        <v/>
      </c>
      <c r="Q26" s="3">
        <f>IFERROR((('Raw Data 3Y'!AC27/'Raw Data 3Y'!AB27)^(1/3)-1)*100,"")</f>
        <v/>
      </c>
      <c r="R26" s="3">
        <f>IFERROR((('Raw Data 3Y'!AE27/'Raw Data 3Y'!AD27)^(1/3)-1)*100,"")</f>
        <v/>
      </c>
      <c r="S26" s="3">
        <f>IFERROR((('Raw Data 3Y'!AG27/'Raw Data 3Y'!AF27)^(1/3)-1)*100,"")</f>
        <v/>
      </c>
      <c r="T26" s="3">
        <f>IFERROR((('Raw Data 3Y'!AI27/'Raw Data 3Y'!AH27)^(1/3)-1)*100,"")</f>
        <v/>
      </c>
      <c r="U26" s="3">
        <f>IFERROR((('Raw Data 3Y'!AK27/'Raw Data 3Y'!AJ27)^(1/3)-1)*100,"")</f>
        <v/>
      </c>
      <c r="V26" s="3">
        <f>IFERROR((('Raw Data 3Y'!AM27/'Raw Data 3Y'!AL27)^(1/3)-1)*100,"")</f>
        <v/>
      </c>
      <c r="W26" s="3">
        <f>IFERROR((('Raw Data 3Y'!AO27/'Raw Data 3Y'!AN27)^(1/3)-1)*100,"")</f>
        <v/>
      </c>
      <c r="X26" s="3">
        <f>IF(AND(ISNUMBER(F26),COUNT(F$2:F$46)&gt;=4),IF(F26&gt;=QUARTILE(F$2:F$46,3),1,0),0)+IF(AND(ISNUMBER(G26),COUNT(G$2:G$46)&gt;=4),IF(G26&gt;=QUARTILE(G$2:G$46,3),1,0),0)+IF(AND(ISNUMBER(H26),COUNT(H$2:H$46)&gt;=4),IF(H26&gt;=QUARTILE(H$2:H$46,3),1,0),0)+IF(AND(ISNUMBER(I26),COUNT(I$2:I$46)&gt;=4),IF(I26&gt;=QUARTILE(I$2:I$46,3),1,0),0)+IF(AND(ISNUMBER(J26),COUNT(J$2:J$46)&gt;=4),IF(J26&gt;=QUARTILE(J$2:J$46,3),1,0),0)+IF(AND(ISNUMBER(K26),COUNT(K$2:K$46)&gt;=4),IF(K26&gt;=QUARTILE(K$2:K$46,3),1,0),0)+IF(AND(ISNUMBER(L26),COUNT(L$2:L$46)&gt;=4),IF(L26&gt;=QUARTILE(L$2:L$46,3),1,0),0)+IF(AND(ISNUMBER(M26),COUNT(M$2:M$46)&gt;=4),IF(M26&gt;=QUARTILE(M$2:M$46,3),1,0),0)+IF(AND(ISNUMBER(N26),COUNT(N$2:N$46)&gt;=4),IF(N26&gt;=QUARTILE(N$2:N$46,3),1,0),0)+IF(AND(ISNUMBER(O26),COUNT(O$2:O$46)&gt;=4),IF(O26&gt;=QUARTILE(O$2:O$46,3),1,0),0)+IF(AND(ISNUMBER(P26),COUNT(P$2:P$46)&gt;=4),IF(P26&gt;=QUARTILE(P$2:P$46,3),1,0),0)+IF(AND(ISNUMBER(Q26),COUNT(Q$2:Q$46)&gt;=4),IF(Q26&gt;=QUARTILE(Q$2:Q$46,3),1,0),0)+IF(AND(ISNUMBER(R26),COUNT(R$2:R$46)&gt;=4),IF(R26&gt;=QUARTILE(R$2:R$46,3),1,0),0)+IF(AND(ISNUMBER(S26),COUNT(S$2:S$46)&gt;=4),IF(S26&gt;=QUARTILE(S$2:S$46,3),1,0),0)+IF(AND(ISNUMBER(T26),COUNT(T$2:T$46)&gt;=4),IF(T26&gt;=QUARTILE(T$2:T$46,3),1,0),0)+IF(AND(ISNUMBER(U26),COUNT(U$2:U$46)&gt;=4),IF(U26&gt;=QUARTILE(U$2:U$46,3),1,0),0)+IF(AND(ISNUMBER(V26),COUNT(V$2:V$46)&gt;=4),IF(V26&gt;=QUARTILE(V$2:V$46,3),1,0),0)+IF(AND(ISNUMBER(W26),COUNT(W$2:W$46)&gt;=4),IF(W26&gt;=QUARTILE(W$2:W$46,3),1,0),0)</f>
        <v/>
      </c>
      <c r="Y26" s="3">
        <f>IF(AND(ISNUMBER(F26),COUNT(F$2:F$46)&gt;=4),IF(F26&lt;=QUARTILE(F$2:F$46,1),1,0),0)+IF(AND(ISNUMBER(G26),COUNT(G$2:G$46)&gt;=4),IF(G26&lt;=QUARTILE(G$2:G$46,1),1,0),0)+IF(AND(ISNUMBER(H26),COUNT(H$2:H$46)&gt;=4),IF(H26&lt;=QUARTILE(H$2:H$46,1),1,0),0)+IF(AND(ISNUMBER(I26),COUNT(I$2:I$46)&gt;=4),IF(I26&lt;=QUARTILE(I$2:I$46,1),1,0),0)+IF(AND(ISNUMBER(J26),COUNT(J$2:J$46)&gt;=4),IF(J26&lt;=QUARTILE(J$2:J$46,1),1,0),0)+IF(AND(ISNUMBER(K26),COUNT(K$2:K$46)&gt;=4),IF(K26&lt;=QUARTILE(K$2:K$46,1),1,0),0)+IF(AND(ISNUMBER(L26),COUNT(L$2:L$46)&gt;=4),IF(L26&lt;=QUARTILE(L$2:L$46,1),1,0),0)+IF(AND(ISNUMBER(M26),COUNT(M$2:M$46)&gt;=4),IF(M26&lt;=QUARTILE(M$2:M$46,1),1,0),0)+IF(AND(ISNUMBER(N26),COUNT(N$2:N$46)&gt;=4),IF(N26&lt;=QUARTILE(N$2:N$46,1),1,0),0)+IF(AND(ISNUMBER(O26),COUNT(O$2:O$46)&gt;=4),IF(O26&lt;=QUARTILE(O$2:O$46,1),1,0),0)+IF(AND(ISNUMBER(P26),COUNT(P$2:P$46)&gt;=4),IF(P26&lt;=QUARTILE(P$2:P$46,1),1,0),0)+IF(AND(ISNUMBER(Q26),COUNT(Q$2:Q$46)&gt;=4),IF(Q26&lt;=QUARTILE(Q$2:Q$46,1),1,0),0)+IF(AND(ISNUMBER(R26),COUNT(R$2:R$46)&gt;=4),IF(R26&lt;=QUARTILE(R$2:R$46,1),1,0),0)+IF(AND(ISNUMBER(S26),COUNT(S$2:S$46)&gt;=4),IF(S26&lt;=QUARTILE(S$2:S$46,1),1,0),0)+IF(AND(ISNUMBER(T26),COUNT(T$2:T$46)&gt;=4),IF(T26&lt;=QUARTILE(T$2:T$46,1),1,0),0)+IF(AND(ISNUMBER(U26),COUNT(U$2:U$46)&gt;=4),IF(U26&lt;=QUARTILE(U$2:U$46,1),1,0),0)+IF(AND(ISNUMBER(V26),COUNT(V$2:V$46)&gt;=4),IF(V26&lt;=QUARTILE(V$2:V$46,1),1,0),0)+IF(AND(ISNUMBER(W26),COUNT(W$2:W$46)&gt;=4),IF(W26&lt;=QUARTILE(W$2:W$46,1),1,0),0)</f>
        <v/>
      </c>
      <c r="Z26" s="3">
        <f>IF(Y26=0,X26,ROUND(X26/Y26,2))</f>
        <v/>
      </c>
      <c r="AA26" s="3">
        <f>IFERROR(IF(VLOOKUP(A26,'Raw Data 3Y'!A:AP,42,FALSE)="","none",VLOOKUP(A26,'Raw Data 3Y'!A:AP,42,FALSE)),"none")</f>
        <v/>
      </c>
      <c r="AB26" s="4" t="inlineStr">
        <is>
          <t>Source</t>
        </is>
      </c>
    </row>
    <row r="27">
      <c r="A27">
        <f>'Raw Data 3Y'!A31</f>
        <v/>
      </c>
      <c r="B27" s="3">
        <f>IFERROR((('Raw Data 3Y'!C31/'Raw Data 3Y'!B31)^(1/'Raw Data 3Y'!D31)-1)*100,"")</f>
        <v/>
      </c>
      <c r="C27" s="3">
        <f>'Raw Data 3Y'!E31</f>
        <v/>
      </c>
      <c r="D27" s="3">
        <f>INT('Raw Data 3Y'!D31)</f>
        <v/>
      </c>
      <c r="E27" s="3">
        <f>IFERROR(AVERAGE(F27:W27),"")</f>
        <v/>
      </c>
      <c r="F27" s="3">
        <f>IFERROR((('Raw Data 3Y'!G31/'Raw Data 3Y'!F31)^(1/3)-1)*100,"")</f>
        <v/>
      </c>
      <c r="G27" s="3">
        <f>IFERROR((('Raw Data 3Y'!I31/'Raw Data 3Y'!H31)^(1/3)-1)*100,"")</f>
        <v/>
      </c>
      <c r="H27" s="3">
        <f>IFERROR((('Raw Data 3Y'!K31/'Raw Data 3Y'!J31)^(1/3)-1)*100,"")</f>
        <v/>
      </c>
      <c r="I27" s="3">
        <f>IFERROR((('Raw Data 3Y'!M31/'Raw Data 3Y'!L31)^(1/3)-1)*100,"")</f>
        <v/>
      </c>
      <c r="J27" s="3">
        <f>IFERROR((('Raw Data 3Y'!O31/'Raw Data 3Y'!N31)^(1/3)-1)*100,"")</f>
        <v/>
      </c>
      <c r="K27" s="3">
        <f>IFERROR((('Raw Data 3Y'!Q31/'Raw Data 3Y'!P31)^(1/3)-1)*100,"")</f>
        <v/>
      </c>
      <c r="L27" s="3">
        <f>IFERROR((('Raw Data 3Y'!S31/'Raw Data 3Y'!R31)^(1/3)-1)*100,"")</f>
        <v/>
      </c>
      <c r="M27" s="3">
        <f>IFERROR((('Raw Data 3Y'!U31/'Raw Data 3Y'!T31)^(1/3)-1)*100,"")</f>
        <v/>
      </c>
      <c r="N27" s="3">
        <f>IFERROR((('Raw Data 3Y'!W31/'Raw Data 3Y'!V31)^(1/3)-1)*100,"")</f>
        <v/>
      </c>
      <c r="O27" s="3">
        <f>IFERROR((('Raw Data 3Y'!Y31/'Raw Data 3Y'!X31)^(1/3)-1)*100,"")</f>
        <v/>
      </c>
      <c r="P27" s="3">
        <f>IFERROR((('Raw Data 3Y'!AA31/'Raw Data 3Y'!Z31)^(1/3)-1)*100,"")</f>
        <v/>
      </c>
      <c r="Q27" s="3">
        <f>IFERROR((('Raw Data 3Y'!AC31/'Raw Data 3Y'!AB31)^(1/3)-1)*100,"")</f>
        <v/>
      </c>
      <c r="R27" s="3">
        <f>IFERROR((('Raw Data 3Y'!AE31/'Raw Data 3Y'!AD31)^(1/3)-1)*100,"")</f>
        <v/>
      </c>
      <c r="S27" s="3">
        <f>IFERROR((('Raw Data 3Y'!AG31/'Raw Data 3Y'!AF31)^(1/3)-1)*100,"")</f>
        <v/>
      </c>
      <c r="T27" s="3">
        <f>IFERROR((('Raw Data 3Y'!AI31/'Raw Data 3Y'!AH31)^(1/3)-1)*100,"")</f>
        <v/>
      </c>
      <c r="U27" s="3">
        <f>IFERROR((('Raw Data 3Y'!AK31/'Raw Data 3Y'!AJ31)^(1/3)-1)*100,"")</f>
        <v/>
      </c>
      <c r="V27" s="3">
        <f>IFERROR((('Raw Data 3Y'!AM31/'Raw Data 3Y'!AL31)^(1/3)-1)*100,"")</f>
        <v/>
      </c>
      <c r="W27" s="3">
        <f>IFERROR((('Raw Data 3Y'!AO31/'Raw Data 3Y'!AN31)^(1/3)-1)*100,"")</f>
        <v/>
      </c>
      <c r="X27" s="3">
        <f>IF(AND(ISNUMBER(F27),COUNT(F$2:F$46)&gt;=4),IF(F27&gt;=QUARTILE(F$2:F$46,3),1,0),0)+IF(AND(ISNUMBER(G27),COUNT(G$2:G$46)&gt;=4),IF(G27&gt;=QUARTILE(G$2:G$46,3),1,0),0)+IF(AND(ISNUMBER(H27),COUNT(H$2:H$46)&gt;=4),IF(H27&gt;=QUARTILE(H$2:H$46,3),1,0),0)+IF(AND(ISNUMBER(I27),COUNT(I$2:I$46)&gt;=4),IF(I27&gt;=QUARTILE(I$2:I$46,3),1,0),0)+IF(AND(ISNUMBER(J27),COUNT(J$2:J$46)&gt;=4),IF(J27&gt;=QUARTILE(J$2:J$46,3),1,0),0)+IF(AND(ISNUMBER(K27),COUNT(K$2:K$46)&gt;=4),IF(K27&gt;=QUARTILE(K$2:K$46,3),1,0),0)+IF(AND(ISNUMBER(L27),COUNT(L$2:L$46)&gt;=4),IF(L27&gt;=QUARTILE(L$2:L$46,3),1,0),0)+IF(AND(ISNUMBER(M27),COUNT(M$2:M$46)&gt;=4),IF(M27&gt;=QUARTILE(M$2:M$46,3),1,0),0)+IF(AND(ISNUMBER(N27),COUNT(N$2:N$46)&gt;=4),IF(N27&gt;=QUARTILE(N$2:N$46,3),1,0),0)+IF(AND(ISNUMBER(O27),COUNT(O$2:O$46)&gt;=4),IF(O27&gt;=QUARTILE(O$2:O$46,3),1,0),0)+IF(AND(ISNUMBER(P27),COUNT(P$2:P$46)&gt;=4),IF(P27&gt;=QUARTILE(P$2:P$46,3),1,0),0)+IF(AND(ISNUMBER(Q27),COUNT(Q$2:Q$46)&gt;=4),IF(Q27&gt;=QUARTILE(Q$2:Q$46,3),1,0),0)+IF(AND(ISNUMBER(R27),COUNT(R$2:R$46)&gt;=4),IF(R27&gt;=QUARTILE(R$2:R$46,3),1,0),0)+IF(AND(ISNUMBER(S27),COUNT(S$2:S$46)&gt;=4),IF(S27&gt;=QUARTILE(S$2:S$46,3),1,0),0)+IF(AND(ISNUMBER(T27),COUNT(T$2:T$46)&gt;=4),IF(T27&gt;=QUARTILE(T$2:T$46,3),1,0),0)+IF(AND(ISNUMBER(U27),COUNT(U$2:U$46)&gt;=4),IF(U27&gt;=QUARTILE(U$2:U$46,3),1,0),0)+IF(AND(ISNUMBER(V27),COUNT(V$2:V$46)&gt;=4),IF(V27&gt;=QUARTILE(V$2:V$46,3),1,0),0)+IF(AND(ISNUMBER(W27),COUNT(W$2:W$46)&gt;=4),IF(W27&gt;=QUARTILE(W$2:W$46,3),1,0),0)</f>
        <v/>
      </c>
      <c r="Y27" s="3">
        <f>IF(AND(ISNUMBER(F27),COUNT(F$2:F$46)&gt;=4),IF(F27&lt;=QUARTILE(F$2:F$46,1),1,0),0)+IF(AND(ISNUMBER(G27),COUNT(G$2:G$46)&gt;=4),IF(G27&lt;=QUARTILE(G$2:G$46,1),1,0),0)+IF(AND(ISNUMBER(H27),COUNT(H$2:H$46)&gt;=4),IF(H27&lt;=QUARTILE(H$2:H$46,1),1,0),0)+IF(AND(ISNUMBER(I27),COUNT(I$2:I$46)&gt;=4),IF(I27&lt;=QUARTILE(I$2:I$46,1),1,0),0)+IF(AND(ISNUMBER(J27),COUNT(J$2:J$46)&gt;=4),IF(J27&lt;=QUARTILE(J$2:J$46,1),1,0),0)+IF(AND(ISNUMBER(K27),COUNT(K$2:K$46)&gt;=4),IF(K27&lt;=QUARTILE(K$2:K$46,1),1,0),0)+IF(AND(ISNUMBER(L27),COUNT(L$2:L$46)&gt;=4),IF(L27&lt;=QUARTILE(L$2:L$46,1),1,0),0)+IF(AND(ISNUMBER(M27),COUNT(M$2:M$46)&gt;=4),IF(M27&lt;=QUARTILE(M$2:M$46,1),1,0),0)+IF(AND(ISNUMBER(N27),COUNT(N$2:N$46)&gt;=4),IF(N27&lt;=QUARTILE(N$2:N$46,1),1,0),0)+IF(AND(ISNUMBER(O27),COUNT(O$2:O$46)&gt;=4),IF(O27&lt;=QUARTILE(O$2:O$46,1),1,0),0)+IF(AND(ISNUMBER(P27),COUNT(P$2:P$46)&gt;=4),IF(P27&lt;=QUARTILE(P$2:P$46,1),1,0),0)+IF(AND(ISNUMBER(Q27),COUNT(Q$2:Q$46)&gt;=4),IF(Q27&lt;=QUARTILE(Q$2:Q$46,1),1,0),0)+IF(AND(ISNUMBER(R27),COUNT(R$2:R$46)&gt;=4),IF(R27&lt;=QUARTILE(R$2:R$46,1),1,0),0)+IF(AND(ISNUMBER(S27),COUNT(S$2:S$46)&gt;=4),IF(S27&lt;=QUARTILE(S$2:S$46,1),1,0),0)+IF(AND(ISNUMBER(T27),COUNT(T$2:T$46)&gt;=4),IF(T27&lt;=QUARTILE(T$2:T$46,1),1,0),0)+IF(AND(ISNUMBER(U27),COUNT(U$2:U$46)&gt;=4),IF(U27&lt;=QUARTILE(U$2:U$46,1),1,0),0)+IF(AND(ISNUMBER(V27),COUNT(V$2:V$46)&gt;=4),IF(V27&lt;=QUARTILE(V$2:V$46,1),1,0),0)+IF(AND(ISNUMBER(W27),COUNT(W$2:W$46)&gt;=4),IF(W27&lt;=QUARTILE(W$2:W$46,1),1,0),0)</f>
        <v/>
      </c>
      <c r="Z27" s="3">
        <f>IF(Y27=0,X27,ROUND(X27/Y27,2))</f>
        <v/>
      </c>
      <c r="AA27" s="3">
        <f>IFERROR(IF(VLOOKUP(A27,'Raw Data 3Y'!A:AP,42,FALSE)="","none",VLOOKUP(A27,'Raw Data 3Y'!A:AP,42,FALSE)),"none")</f>
        <v/>
      </c>
      <c r="AB27" s="4" t="inlineStr">
        <is>
          <t>Source</t>
        </is>
      </c>
    </row>
    <row r="28">
      <c r="A28">
        <f>'Raw Data 3Y'!A3</f>
        <v/>
      </c>
      <c r="B28" s="3">
        <f>IFERROR((('Raw Data 3Y'!C3/'Raw Data 3Y'!B3)^(1/'Raw Data 3Y'!D3)-1)*100,"")</f>
        <v/>
      </c>
      <c r="C28" s="3">
        <f>'Raw Data 3Y'!E3</f>
        <v/>
      </c>
      <c r="D28" s="3">
        <f>INT('Raw Data 3Y'!D3)</f>
        <v/>
      </c>
      <c r="E28" s="3">
        <f>IFERROR(AVERAGE(F28:W28),"")</f>
        <v/>
      </c>
      <c r="F28" s="3">
        <f>IFERROR((('Raw Data 3Y'!G3/'Raw Data 3Y'!F3)^(1/3)-1)*100,"")</f>
        <v/>
      </c>
      <c r="G28" s="3">
        <f>IFERROR((('Raw Data 3Y'!I3/'Raw Data 3Y'!H3)^(1/3)-1)*100,"")</f>
        <v/>
      </c>
      <c r="H28" s="3">
        <f>IFERROR((('Raw Data 3Y'!K3/'Raw Data 3Y'!J3)^(1/3)-1)*100,"")</f>
        <v/>
      </c>
      <c r="I28" s="3">
        <f>IFERROR((('Raw Data 3Y'!M3/'Raw Data 3Y'!L3)^(1/3)-1)*100,"")</f>
        <v/>
      </c>
      <c r="J28" s="3">
        <f>IFERROR((('Raw Data 3Y'!O3/'Raw Data 3Y'!N3)^(1/3)-1)*100,"")</f>
        <v/>
      </c>
      <c r="K28" s="3">
        <f>IFERROR((('Raw Data 3Y'!Q3/'Raw Data 3Y'!P3)^(1/3)-1)*100,"")</f>
        <v/>
      </c>
      <c r="L28" s="3">
        <f>IFERROR((('Raw Data 3Y'!S3/'Raw Data 3Y'!R3)^(1/3)-1)*100,"")</f>
        <v/>
      </c>
      <c r="M28" s="3">
        <f>IFERROR((('Raw Data 3Y'!U3/'Raw Data 3Y'!T3)^(1/3)-1)*100,"")</f>
        <v/>
      </c>
      <c r="N28" s="3">
        <f>IFERROR((('Raw Data 3Y'!W3/'Raw Data 3Y'!V3)^(1/3)-1)*100,"")</f>
        <v/>
      </c>
      <c r="O28" s="3">
        <f>IFERROR((('Raw Data 3Y'!Y3/'Raw Data 3Y'!X3)^(1/3)-1)*100,"")</f>
        <v/>
      </c>
      <c r="P28" s="3">
        <f>IFERROR((('Raw Data 3Y'!AA3/'Raw Data 3Y'!Z3)^(1/3)-1)*100,"")</f>
        <v/>
      </c>
      <c r="Q28" s="3">
        <f>IFERROR((('Raw Data 3Y'!AC3/'Raw Data 3Y'!AB3)^(1/3)-1)*100,"")</f>
        <v/>
      </c>
      <c r="R28" s="3">
        <f>IFERROR((('Raw Data 3Y'!AE3/'Raw Data 3Y'!AD3)^(1/3)-1)*100,"")</f>
        <v/>
      </c>
      <c r="S28" s="3">
        <f>IFERROR((('Raw Data 3Y'!AG3/'Raw Data 3Y'!AF3)^(1/3)-1)*100,"")</f>
        <v/>
      </c>
      <c r="T28" s="3">
        <f>IFERROR((('Raw Data 3Y'!AI3/'Raw Data 3Y'!AH3)^(1/3)-1)*100,"")</f>
        <v/>
      </c>
      <c r="U28" s="3">
        <f>IFERROR((('Raw Data 3Y'!AK3/'Raw Data 3Y'!AJ3)^(1/3)-1)*100,"")</f>
        <v/>
      </c>
      <c r="V28" s="3">
        <f>IFERROR((('Raw Data 3Y'!AM3/'Raw Data 3Y'!AL3)^(1/3)-1)*100,"")</f>
        <v/>
      </c>
      <c r="W28" s="3">
        <f>IFERROR((('Raw Data 3Y'!AO3/'Raw Data 3Y'!AN3)^(1/3)-1)*100,"")</f>
        <v/>
      </c>
      <c r="X28" s="3">
        <f>IF(AND(ISNUMBER(F28),COUNT(F$2:F$46)&gt;=4),IF(F28&gt;=QUARTILE(F$2:F$46,3),1,0),0)+IF(AND(ISNUMBER(G28),COUNT(G$2:G$46)&gt;=4),IF(G28&gt;=QUARTILE(G$2:G$46,3),1,0),0)+IF(AND(ISNUMBER(H28),COUNT(H$2:H$46)&gt;=4),IF(H28&gt;=QUARTILE(H$2:H$46,3),1,0),0)+IF(AND(ISNUMBER(I28),COUNT(I$2:I$46)&gt;=4),IF(I28&gt;=QUARTILE(I$2:I$46,3),1,0),0)+IF(AND(ISNUMBER(J28),COUNT(J$2:J$46)&gt;=4),IF(J28&gt;=QUARTILE(J$2:J$46,3),1,0),0)+IF(AND(ISNUMBER(K28),COUNT(K$2:K$46)&gt;=4),IF(K28&gt;=QUARTILE(K$2:K$46,3),1,0),0)+IF(AND(ISNUMBER(L28),COUNT(L$2:L$46)&gt;=4),IF(L28&gt;=QUARTILE(L$2:L$46,3),1,0),0)+IF(AND(ISNUMBER(M28),COUNT(M$2:M$46)&gt;=4),IF(M28&gt;=QUARTILE(M$2:M$46,3),1,0),0)+IF(AND(ISNUMBER(N28),COUNT(N$2:N$46)&gt;=4),IF(N28&gt;=QUARTILE(N$2:N$46,3),1,0),0)+IF(AND(ISNUMBER(O28),COUNT(O$2:O$46)&gt;=4),IF(O28&gt;=QUARTILE(O$2:O$46,3),1,0),0)+IF(AND(ISNUMBER(P28),COUNT(P$2:P$46)&gt;=4),IF(P28&gt;=QUARTILE(P$2:P$46,3),1,0),0)+IF(AND(ISNUMBER(Q28),COUNT(Q$2:Q$46)&gt;=4),IF(Q28&gt;=QUARTILE(Q$2:Q$46,3),1,0),0)+IF(AND(ISNUMBER(R28),COUNT(R$2:R$46)&gt;=4),IF(R28&gt;=QUARTILE(R$2:R$46,3),1,0),0)+IF(AND(ISNUMBER(S28),COUNT(S$2:S$46)&gt;=4),IF(S28&gt;=QUARTILE(S$2:S$46,3),1,0),0)+IF(AND(ISNUMBER(T28),COUNT(T$2:T$46)&gt;=4),IF(T28&gt;=QUARTILE(T$2:T$46,3),1,0),0)+IF(AND(ISNUMBER(U28),COUNT(U$2:U$46)&gt;=4),IF(U28&gt;=QUARTILE(U$2:U$46,3),1,0),0)+IF(AND(ISNUMBER(V28),COUNT(V$2:V$46)&gt;=4),IF(V28&gt;=QUARTILE(V$2:V$46,3),1,0),0)+IF(AND(ISNUMBER(W28),COUNT(W$2:W$46)&gt;=4),IF(W28&gt;=QUARTILE(W$2:W$46,3),1,0),0)</f>
        <v/>
      </c>
      <c r="Y28" s="3">
        <f>IF(AND(ISNUMBER(F28),COUNT(F$2:F$46)&gt;=4),IF(F28&lt;=QUARTILE(F$2:F$46,1),1,0),0)+IF(AND(ISNUMBER(G28),COUNT(G$2:G$46)&gt;=4),IF(G28&lt;=QUARTILE(G$2:G$46,1),1,0),0)+IF(AND(ISNUMBER(H28),COUNT(H$2:H$46)&gt;=4),IF(H28&lt;=QUARTILE(H$2:H$46,1),1,0),0)+IF(AND(ISNUMBER(I28),COUNT(I$2:I$46)&gt;=4),IF(I28&lt;=QUARTILE(I$2:I$46,1),1,0),0)+IF(AND(ISNUMBER(J28),COUNT(J$2:J$46)&gt;=4),IF(J28&lt;=QUARTILE(J$2:J$46,1),1,0),0)+IF(AND(ISNUMBER(K28),COUNT(K$2:K$46)&gt;=4),IF(K28&lt;=QUARTILE(K$2:K$46,1),1,0),0)+IF(AND(ISNUMBER(L28),COUNT(L$2:L$46)&gt;=4),IF(L28&lt;=QUARTILE(L$2:L$46,1),1,0),0)+IF(AND(ISNUMBER(M28),COUNT(M$2:M$46)&gt;=4),IF(M28&lt;=QUARTILE(M$2:M$46,1),1,0),0)+IF(AND(ISNUMBER(N28),COUNT(N$2:N$46)&gt;=4),IF(N28&lt;=QUARTILE(N$2:N$46,1),1,0),0)+IF(AND(ISNUMBER(O28),COUNT(O$2:O$46)&gt;=4),IF(O28&lt;=QUARTILE(O$2:O$46,1),1,0),0)+IF(AND(ISNUMBER(P28),COUNT(P$2:P$46)&gt;=4),IF(P28&lt;=QUARTILE(P$2:P$46,1),1,0),0)+IF(AND(ISNUMBER(Q28),COUNT(Q$2:Q$46)&gt;=4),IF(Q28&lt;=QUARTILE(Q$2:Q$46,1),1,0),0)+IF(AND(ISNUMBER(R28),COUNT(R$2:R$46)&gt;=4),IF(R28&lt;=QUARTILE(R$2:R$46,1),1,0),0)+IF(AND(ISNUMBER(S28),COUNT(S$2:S$46)&gt;=4),IF(S28&lt;=QUARTILE(S$2:S$46,1),1,0),0)+IF(AND(ISNUMBER(T28),COUNT(T$2:T$46)&gt;=4),IF(T28&lt;=QUARTILE(T$2:T$46,1),1,0),0)+IF(AND(ISNUMBER(U28),COUNT(U$2:U$46)&gt;=4),IF(U28&lt;=QUARTILE(U$2:U$46,1),1,0),0)+IF(AND(ISNUMBER(V28),COUNT(V$2:V$46)&gt;=4),IF(V28&lt;=QUARTILE(V$2:V$46,1),1,0),0)+IF(AND(ISNUMBER(W28),COUNT(W$2:W$46)&gt;=4),IF(W28&lt;=QUARTILE(W$2:W$46,1),1,0),0)</f>
        <v/>
      </c>
      <c r="Z28" s="3">
        <f>IF(Y28=0,X28,ROUND(X28/Y28,2))</f>
        <v/>
      </c>
      <c r="AA28" s="3">
        <f>IFERROR(IF(VLOOKUP(A28,'Raw Data 3Y'!A:AP,42,FALSE)="","none",VLOOKUP(A28,'Raw Data 3Y'!A:AP,42,FALSE)),"none")</f>
        <v/>
      </c>
      <c r="AB28" s="4" t="inlineStr">
        <is>
          <t>Source</t>
        </is>
      </c>
    </row>
    <row r="29">
      <c r="A29">
        <f>'Raw Data 3Y'!A10</f>
        <v/>
      </c>
      <c r="B29" s="3">
        <f>IFERROR((('Raw Data 3Y'!C10/'Raw Data 3Y'!B10)^(1/'Raw Data 3Y'!D10)-1)*100,"")</f>
        <v/>
      </c>
      <c r="C29" s="3">
        <f>'Raw Data 3Y'!E10</f>
        <v/>
      </c>
      <c r="D29" s="3">
        <f>INT('Raw Data 3Y'!D10)</f>
        <v/>
      </c>
      <c r="E29" s="3">
        <f>IFERROR(AVERAGE(F29:W29),"")</f>
        <v/>
      </c>
      <c r="F29" s="3">
        <f>IFERROR((('Raw Data 3Y'!G10/'Raw Data 3Y'!F10)^(1/3)-1)*100,"")</f>
        <v/>
      </c>
      <c r="G29" s="3">
        <f>IFERROR((('Raw Data 3Y'!I10/'Raw Data 3Y'!H10)^(1/3)-1)*100,"")</f>
        <v/>
      </c>
      <c r="H29" s="3">
        <f>IFERROR((('Raw Data 3Y'!K10/'Raw Data 3Y'!J10)^(1/3)-1)*100,"")</f>
        <v/>
      </c>
      <c r="I29" s="3">
        <f>IFERROR((('Raw Data 3Y'!M10/'Raw Data 3Y'!L10)^(1/3)-1)*100,"")</f>
        <v/>
      </c>
      <c r="J29" s="3">
        <f>IFERROR((('Raw Data 3Y'!O10/'Raw Data 3Y'!N10)^(1/3)-1)*100,"")</f>
        <v/>
      </c>
      <c r="K29" s="3">
        <f>IFERROR((('Raw Data 3Y'!Q10/'Raw Data 3Y'!P10)^(1/3)-1)*100,"")</f>
        <v/>
      </c>
      <c r="L29" s="3">
        <f>IFERROR((('Raw Data 3Y'!S10/'Raw Data 3Y'!R10)^(1/3)-1)*100,"")</f>
        <v/>
      </c>
      <c r="M29" s="3">
        <f>IFERROR((('Raw Data 3Y'!U10/'Raw Data 3Y'!T10)^(1/3)-1)*100,"")</f>
        <v/>
      </c>
      <c r="N29" s="3">
        <f>IFERROR((('Raw Data 3Y'!W10/'Raw Data 3Y'!V10)^(1/3)-1)*100,"")</f>
        <v/>
      </c>
      <c r="O29" s="3">
        <f>IFERROR((('Raw Data 3Y'!Y10/'Raw Data 3Y'!X10)^(1/3)-1)*100,"")</f>
        <v/>
      </c>
      <c r="P29" s="3">
        <f>IFERROR((('Raw Data 3Y'!AA10/'Raw Data 3Y'!Z10)^(1/3)-1)*100,"")</f>
        <v/>
      </c>
      <c r="Q29" s="3">
        <f>IFERROR((('Raw Data 3Y'!AC10/'Raw Data 3Y'!AB10)^(1/3)-1)*100,"")</f>
        <v/>
      </c>
      <c r="R29" s="3">
        <f>IFERROR((('Raw Data 3Y'!AE10/'Raw Data 3Y'!AD10)^(1/3)-1)*100,"")</f>
        <v/>
      </c>
      <c r="S29" s="3">
        <f>IFERROR((('Raw Data 3Y'!AG10/'Raw Data 3Y'!AF10)^(1/3)-1)*100,"")</f>
        <v/>
      </c>
      <c r="T29" s="3">
        <f>IFERROR((('Raw Data 3Y'!AI10/'Raw Data 3Y'!AH10)^(1/3)-1)*100,"")</f>
        <v/>
      </c>
      <c r="U29" s="3">
        <f>IFERROR((('Raw Data 3Y'!AK10/'Raw Data 3Y'!AJ10)^(1/3)-1)*100,"")</f>
        <v/>
      </c>
      <c r="V29" s="3">
        <f>IFERROR((('Raw Data 3Y'!AM10/'Raw Data 3Y'!AL10)^(1/3)-1)*100,"")</f>
        <v/>
      </c>
      <c r="W29" s="3">
        <f>IFERROR((('Raw Data 3Y'!AO10/'Raw Data 3Y'!AN10)^(1/3)-1)*100,"")</f>
        <v/>
      </c>
      <c r="X29" s="3">
        <f>IF(AND(ISNUMBER(F29),COUNT(F$2:F$46)&gt;=4),IF(F29&gt;=QUARTILE(F$2:F$46,3),1,0),0)+IF(AND(ISNUMBER(G29),COUNT(G$2:G$46)&gt;=4),IF(G29&gt;=QUARTILE(G$2:G$46,3),1,0),0)+IF(AND(ISNUMBER(H29),COUNT(H$2:H$46)&gt;=4),IF(H29&gt;=QUARTILE(H$2:H$46,3),1,0),0)+IF(AND(ISNUMBER(I29),COUNT(I$2:I$46)&gt;=4),IF(I29&gt;=QUARTILE(I$2:I$46,3),1,0),0)+IF(AND(ISNUMBER(J29),COUNT(J$2:J$46)&gt;=4),IF(J29&gt;=QUARTILE(J$2:J$46,3),1,0),0)+IF(AND(ISNUMBER(K29),COUNT(K$2:K$46)&gt;=4),IF(K29&gt;=QUARTILE(K$2:K$46,3),1,0),0)+IF(AND(ISNUMBER(L29),COUNT(L$2:L$46)&gt;=4),IF(L29&gt;=QUARTILE(L$2:L$46,3),1,0),0)+IF(AND(ISNUMBER(M29),COUNT(M$2:M$46)&gt;=4),IF(M29&gt;=QUARTILE(M$2:M$46,3),1,0),0)+IF(AND(ISNUMBER(N29),COUNT(N$2:N$46)&gt;=4),IF(N29&gt;=QUARTILE(N$2:N$46,3),1,0),0)+IF(AND(ISNUMBER(O29),COUNT(O$2:O$46)&gt;=4),IF(O29&gt;=QUARTILE(O$2:O$46,3),1,0),0)+IF(AND(ISNUMBER(P29),COUNT(P$2:P$46)&gt;=4),IF(P29&gt;=QUARTILE(P$2:P$46,3),1,0),0)+IF(AND(ISNUMBER(Q29),COUNT(Q$2:Q$46)&gt;=4),IF(Q29&gt;=QUARTILE(Q$2:Q$46,3),1,0),0)+IF(AND(ISNUMBER(R29),COUNT(R$2:R$46)&gt;=4),IF(R29&gt;=QUARTILE(R$2:R$46,3),1,0),0)+IF(AND(ISNUMBER(S29),COUNT(S$2:S$46)&gt;=4),IF(S29&gt;=QUARTILE(S$2:S$46,3),1,0),0)+IF(AND(ISNUMBER(T29),COUNT(T$2:T$46)&gt;=4),IF(T29&gt;=QUARTILE(T$2:T$46,3),1,0),0)+IF(AND(ISNUMBER(U29),COUNT(U$2:U$46)&gt;=4),IF(U29&gt;=QUARTILE(U$2:U$46,3),1,0),0)+IF(AND(ISNUMBER(V29),COUNT(V$2:V$46)&gt;=4),IF(V29&gt;=QUARTILE(V$2:V$46,3),1,0),0)+IF(AND(ISNUMBER(W29),COUNT(W$2:W$46)&gt;=4),IF(W29&gt;=QUARTILE(W$2:W$46,3),1,0),0)</f>
        <v/>
      </c>
      <c r="Y29" s="3">
        <f>IF(AND(ISNUMBER(F29),COUNT(F$2:F$46)&gt;=4),IF(F29&lt;=QUARTILE(F$2:F$46,1),1,0),0)+IF(AND(ISNUMBER(G29),COUNT(G$2:G$46)&gt;=4),IF(G29&lt;=QUARTILE(G$2:G$46,1),1,0),0)+IF(AND(ISNUMBER(H29),COUNT(H$2:H$46)&gt;=4),IF(H29&lt;=QUARTILE(H$2:H$46,1),1,0),0)+IF(AND(ISNUMBER(I29),COUNT(I$2:I$46)&gt;=4),IF(I29&lt;=QUARTILE(I$2:I$46,1),1,0),0)+IF(AND(ISNUMBER(J29),COUNT(J$2:J$46)&gt;=4),IF(J29&lt;=QUARTILE(J$2:J$46,1),1,0),0)+IF(AND(ISNUMBER(K29),COUNT(K$2:K$46)&gt;=4),IF(K29&lt;=QUARTILE(K$2:K$46,1),1,0),0)+IF(AND(ISNUMBER(L29),COUNT(L$2:L$46)&gt;=4),IF(L29&lt;=QUARTILE(L$2:L$46,1),1,0),0)+IF(AND(ISNUMBER(M29),COUNT(M$2:M$46)&gt;=4),IF(M29&lt;=QUARTILE(M$2:M$46,1),1,0),0)+IF(AND(ISNUMBER(N29),COUNT(N$2:N$46)&gt;=4),IF(N29&lt;=QUARTILE(N$2:N$46,1),1,0),0)+IF(AND(ISNUMBER(O29),COUNT(O$2:O$46)&gt;=4),IF(O29&lt;=QUARTILE(O$2:O$46,1),1,0),0)+IF(AND(ISNUMBER(P29),COUNT(P$2:P$46)&gt;=4),IF(P29&lt;=QUARTILE(P$2:P$46,1),1,0),0)+IF(AND(ISNUMBER(Q29),COUNT(Q$2:Q$46)&gt;=4),IF(Q29&lt;=QUARTILE(Q$2:Q$46,1),1,0),0)+IF(AND(ISNUMBER(R29),COUNT(R$2:R$46)&gt;=4),IF(R29&lt;=QUARTILE(R$2:R$46,1),1,0),0)+IF(AND(ISNUMBER(S29),COUNT(S$2:S$46)&gt;=4),IF(S29&lt;=QUARTILE(S$2:S$46,1),1,0),0)+IF(AND(ISNUMBER(T29),COUNT(T$2:T$46)&gt;=4),IF(T29&lt;=QUARTILE(T$2:T$46,1),1,0),0)+IF(AND(ISNUMBER(U29),COUNT(U$2:U$46)&gt;=4),IF(U29&lt;=QUARTILE(U$2:U$46,1),1,0),0)+IF(AND(ISNUMBER(V29),COUNT(V$2:V$46)&gt;=4),IF(V29&lt;=QUARTILE(V$2:V$46,1),1,0),0)+IF(AND(ISNUMBER(W29),COUNT(W$2:W$46)&gt;=4),IF(W29&lt;=QUARTILE(W$2:W$46,1),1,0),0)</f>
        <v/>
      </c>
      <c r="Z29" s="3">
        <f>IF(Y29=0,X29,ROUND(X29/Y29,2))</f>
        <v/>
      </c>
      <c r="AA29" s="3">
        <f>IFERROR(IF(VLOOKUP(A29,'Raw Data 3Y'!A:AP,42,FALSE)="","none",VLOOKUP(A29,'Raw Data 3Y'!A:AP,42,FALSE)),"none")</f>
        <v/>
      </c>
      <c r="AB29" s="4" t="inlineStr">
        <is>
          <t>Source</t>
        </is>
      </c>
    </row>
    <row r="30">
      <c r="A30">
        <f>'Raw Data 3Y'!A28</f>
        <v/>
      </c>
      <c r="B30" s="3">
        <f>IFERROR((('Raw Data 3Y'!C28/'Raw Data 3Y'!B28)^(1/'Raw Data 3Y'!D28)-1)*100,"")</f>
        <v/>
      </c>
      <c r="C30" s="3">
        <f>'Raw Data 3Y'!E28</f>
        <v/>
      </c>
      <c r="D30" s="3">
        <f>INT('Raw Data 3Y'!D28)</f>
        <v/>
      </c>
      <c r="E30" s="3">
        <f>IFERROR(AVERAGE(F30:W30),"")</f>
        <v/>
      </c>
      <c r="F30" s="3">
        <f>IFERROR((('Raw Data 3Y'!G28/'Raw Data 3Y'!F28)^(1/3)-1)*100,"")</f>
        <v/>
      </c>
      <c r="G30" s="3">
        <f>IFERROR((('Raw Data 3Y'!I28/'Raw Data 3Y'!H28)^(1/3)-1)*100,"")</f>
        <v/>
      </c>
      <c r="H30" s="3">
        <f>IFERROR((('Raw Data 3Y'!K28/'Raw Data 3Y'!J28)^(1/3)-1)*100,"")</f>
        <v/>
      </c>
      <c r="I30" s="3">
        <f>IFERROR((('Raw Data 3Y'!M28/'Raw Data 3Y'!L28)^(1/3)-1)*100,"")</f>
        <v/>
      </c>
      <c r="J30" s="3">
        <f>IFERROR((('Raw Data 3Y'!O28/'Raw Data 3Y'!N28)^(1/3)-1)*100,"")</f>
        <v/>
      </c>
      <c r="K30" s="3">
        <f>IFERROR((('Raw Data 3Y'!Q28/'Raw Data 3Y'!P28)^(1/3)-1)*100,"")</f>
        <v/>
      </c>
      <c r="L30" s="3">
        <f>IFERROR((('Raw Data 3Y'!S28/'Raw Data 3Y'!R28)^(1/3)-1)*100,"")</f>
        <v/>
      </c>
      <c r="M30" s="3">
        <f>IFERROR((('Raw Data 3Y'!U28/'Raw Data 3Y'!T28)^(1/3)-1)*100,"")</f>
        <v/>
      </c>
      <c r="N30" s="3">
        <f>IFERROR((('Raw Data 3Y'!W28/'Raw Data 3Y'!V28)^(1/3)-1)*100,"")</f>
        <v/>
      </c>
      <c r="O30" s="3">
        <f>IFERROR((('Raw Data 3Y'!Y28/'Raw Data 3Y'!X28)^(1/3)-1)*100,"")</f>
        <v/>
      </c>
      <c r="P30" s="3">
        <f>IFERROR((('Raw Data 3Y'!AA28/'Raw Data 3Y'!Z28)^(1/3)-1)*100,"")</f>
        <v/>
      </c>
      <c r="Q30" s="3">
        <f>IFERROR((('Raw Data 3Y'!AC28/'Raw Data 3Y'!AB28)^(1/3)-1)*100,"")</f>
        <v/>
      </c>
      <c r="R30" s="3">
        <f>IFERROR((('Raw Data 3Y'!AE28/'Raw Data 3Y'!AD28)^(1/3)-1)*100,"")</f>
        <v/>
      </c>
      <c r="S30" s="3">
        <f>IFERROR((('Raw Data 3Y'!AG28/'Raw Data 3Y'!AF28)^(1/3)-1)*100,"")</f>
        <v/>
      </c>
      <c r="T30" s="3">
        <f>IFERROR((('Raw Data 3Y'!AI28/'Raw Data 3Y'!AH28)^(1/3)-1)*100,"")</f>
        <v/>
      </c>
      <c r="U30" s="3">
        <f>IFERROR((('Raw Data 3Y'!AK28/'Raw Data 3Y'!AJ28)^(1/3)-1)*100,"")</f>
        <v/>
      </c>
      <c r="V30" s="3">
        <f>IFERROR((('Raw Data 3Y'!AM28/'Raw Data 3Y'!AL28)^(1/3)-1)*100,"")</f>
        <v/>
      </c>
      <c r="W30" s="3">
        <f>IFERROR((('Raw Data 3Y'!AO28/'Raw Data 3Y'!AN28)^(1/3)-1)*100,"")</f>
        <v/>
      </c>
      <c r="X30" s="3">
        <f>IF(AND(ISNUMBER(F30),COUNT(F$2:F$46)&gt;=4),IF(F30&gt;=QUARTILE(F$2:F$46,3),1,0),0)+IF(AND(ISNUMBER(G30),COUNT(G$2:G$46)&gt;=4),IF(G30&gt;=QUARTILE(G$2:G$46,3),1,0),0)+IF(AND(ISNUMBER(H30),COUNT(H$2:H$46)&gt;=4),IF(H30&gt;=QUARTILE(H$2:H$46,3),1,0),0)+IF(AND(ISNUMBER(I30),COUNT(I$2:I$46)&gt;=4),IF(I30&gt;=QUARTILE(I$2:I$46,3),1,0),0)+IF(AND(ISNUMBER(J30),COUNT(J$2:J$46)&gt;=4),IF(J30&gt;=QUARTILE(J$2:J$46,3),1,0),0)+IF(AND(ISNUMBER(K30),COUNT(K$2:K$46)&gt;=4),IF(K30&gt;=QUARTILE(K$2:K$46,3),1,0),0)+IF(AND(ISNUMBER(L30),COUNT(L$2:L$46)&gt;=4),IF(L30&gt;=QUARTILE(L$2:L$46,3),1,0),0)+IF(AND(ISNUMBER(M30),COUNT(M$2:M$46)&gt;=4),IF(M30&gt;=QUARTILE(M$2:M$46,3),1,0),0)+IF(AND(ISNUMBER(N30),COUNT(N$2:N$46)&gt;=4),IF(N30&gt;=QUARTILE(N$2:N$46,3),1,0),0)+IF(AND(ISNUMBER(O30),COUNT(O$2:O$46)&gt;=4),IF(O30&gt;=QUARTILE(O$2:O$46,3),1,0),0)+IF(AND(ISNUMBER(P30),COUNT(P$2:P$46)&gt;=4),IF(P30&gt;=QUARTILE(P$2:P$46,3),1,0),0)+IF(AND(ISNUMBER(Q30),COUNT(Q$2:Q$46)&gt;=4),IF(Q30&gt;=QUARTILE(Q$2:Q$46,3),1,0),0)+IF(AND(ISNUMBER(R30),COUNT(R$2:R$46)&gt;=4),IF(R30&gt;=QUARTILE(R$2:R$46,3),1,0),0)+IF(AND(ISNUMBER(S30),COUNT(S$2:S$46)&gt;=4),IF(S30&gt;=QUARTILE(S$2:S$46,3),1,0),0)+IF(AND(ISNUMBER(T30),COUNT(T$2:T$46)&gt;=4),IF(T30&gt;=QUARTILE(T$2:T$46,3),1,0),0)+IF(AND(ISNUMBER(U30),COUNT(U$2:U$46)&gt;=4),IF(U30&gt;=QUARTILE(U$2:U$46,3),1,0),0)+IF(AND(ISNUMBER(V30),COUNT(V$2:V$46)&gt;=4),IF(V30&gt;=QUARTILE(V$2:V$46,3),1,0),0)+IF(AND(ISNUMBER(W30),COUNT(W$2:W$46)&gt;=4),IF(W30&gt;=QUARTILE(W$2:W$46,3),1,0),0)</f>
        <v/>
      </c>
      <c r="Y30" s="3">
        <f>IF(AND(ISNUMBER(F30),COUNT(F$2:F$46)&gt;=4),IF(F30&lt;=QUARTILE(F$2:F$46,1),1,0),0)+IF(AND(ISNUMBER(G30),COUNT(G$2:G$46)&gt;=4),IF(G30&lt;=QUARTILE(G$2:G$46,1),1,0),0)+IF(AND(ISNUMBER(H30),COUNT(H$2:H$46)&gt;=4),IF(H30&lt;=QUARTILE(H$2:H$46,1),1,0),0)+IF(AND(ISNUMBER(I30),COUNT(I$2:I$46)&gt;=4),IF(I30&lt;=QUARTILE(I$2:I$46,1),1,0),0)+IF(AND(ISNUMBER(J30),COUNT(J$2:J$46)&gt;=4),IF(J30&lt;=QUARTILE(J$2:J$46,1),1,0),0)+IF(AND(ISNUMBER(K30),COUNT(K$2:K$46)&gt;=4),IF(K30&lt;=QUARTILE(K$2:K$46,1),1,0),0)+IF(AND(ISNUMBER(L30),COUNT(L$2:L$46)&gt;=4),IF(L30&lt;=QUARTILE(L$2:L$46,1),1,0),0)+IF(AND(ISNUMBER(M30),COUNT(M$2:M$46)&gt;=4),IF(M30&lt;=QUARTILE(M$2:M$46,1),1,0),0)+IF(AND(ISNUMBER(N30),COUNT(N$2:N$46)&gt;=4),IF(N30&lt;=QUARTILE(N$2:N$46,1),1,0),0)+IF(AND(ISNUMBER(O30),COUNT(O$2:O$46)&gt;=4),IF(O30&lt;=QUARTILE(O$2:O$46,1),1,0),0)+IF(AND(ISNUMBER(P30),COUNT(P$2:P$46)&gt;=4),IF(P30&lt;=QUARTILE(P$2:P$46,1),1,0),0)+IF(AND(ISNUMBER(Q30),COUNT(Q$2:Q$46)&gt;=4),IF(Q30&lt;=QUARTILE(Q$2:Q$46,1),1,0),0)+IF(AND(ISNUMBER(R30),COUNT(R$2:R$46)&gt;=4),IF(R30&lt;=QUARTILE(R$2:R$46,1),1,0),0)+IF(AND(ISNUMBER(S30),COUNT(S$2:S$46)&gt;=4),IF(S30&lt;=QUARTILE(S$2:S$46,1),1,0),0)+IF(AND(ISNUMBER(T30),COUNT(T$2:T$46)&gt;=4),IF(T30&lt;=QUARTILE(T$2:T$46,1),1,0),0)+IF(AND(ISNUMBER(U30),COUNT(U$2:U$46)&gt;=4),IF(U30&lt;=QUARTILE(U$2:U$46,1),1,0),0)+IF(AND(ISNUMBER(V30),COUNT(V$2:V$46)&gt;=4),IF(V30&lt;=QUARTILE(V$2:V$46,1),1,0),0)+IF(AND(ISNUMBER(W30),COUNT(W$2:W$46)&gt;=4),IF(W30&lt;=QUARTILE(W$2:W$46,1),1,0),0)</f>
        <v/>
      </c>
      <c r="Z30" s="3">
        <f>IF(Y30=0,X30,ROUND(X30/Y30,2))</f>
        <v/>
      </c>
      <c r="AA30" s="3">
        <f>IFERROR(IF(VLOOKUP(A30,'Raw Data 3Y'!A:AP,42,FALSE)="","none",VLOOKUP(A30,'Raw Data 3Y'!A:AP,42,FALSE)),"none")</f>
        <v/>
      </c>
      <c r="AB30" s="4" t="inlineStr">
        <is>
          <t>Source</t>
        </is>
      </c>
    </row>
    <row r="31">
      <c r="A31">
        <f>'Raw Data 3Y'!A19</f>
        <v/>
      </c>
      <c r="B31" s="3">
        <f>IFERROR((('Raw Data 3Y'!C19/'Raw Data 3Y'!B19)^(1/'Raw Data 3Y'!D19)-1)*100,"")</f>
        <v/>
      </c>
      <c r="C31" s="3">
        <f>'Raw Data 3Y'!E19</f>
        <v/>
      </c>
      <c r="D31" s="3">
        <f>INT('Raw Data 3Y'!D19)</f>
        <v/>
      </c>
      <c r="E31" s="3">
        <f>IFERROR(AVERAGE(F31:W31),"")</f>
        <v/>
      </c>
      <c r="F31" s="3">
        <f>IFERROR((('Raw Data 3Y'!G19/'Raw Data 3Y'!F19)^(1/3)-1)*100,"")</f>
        <v/>
      </c>
      <c r="G31" s="3">
        <f>IFERROR((('Raw Data 3Y'!I19/'Raw Data 3Y'!H19)^(1/3)-1)*100,"")</f>
        <v/>
      </c>
      <c r="H31" s="3">
        <f>IFERROR((('Raw Data 3Y'!K19/'Raw Data 3Y'!J19)^(1/3)-1)*100,"")</f>
        <v/>
      </c>
      <c r="I31" s="3">
        <f>IFERROR((('Raw Data 3Y'!M19/'Raw Data 3Y'!L19)^(1/3)-1)*100,"")</f>
        <v/>
      </c>
      <c r="J31" s="3">
        <f>IFERROR((('Raw Data 3Y'!O19/'Raw Data 3Y'!N19)^(1/3)-1)*100,"")</f>
        <v/>
      </c>
      <c r="K31" s="3">
        <f>IFERROR((('Raw Data 3Y'!Q19/'Raw Data 3Y'!P19)^(1/3)-1)*100,"")</f>
        <v/>
      </c>
      <c r="L31" s="3">
        <f>IFERROR((('Raw Data 3Y'!S19/'Raw Data 3Y'!R19)^(1/3)-1)*100,"")</f>
        <v/>
      </c>
      <c r="M31" s="3">
        <f>IFERROR((('Raw Data 3Y'!U19/'Raw Data 3Y'!T19)^(1/3)-1)*100,"")</f>
        <v/>
      </c>
      <c r="N31" s="3">
        <f>IFERROR((('Raw Data 3Y'!W19/'Raw Data 3Y'!V19)^(1/3)-1)*100,"")</f>
        <v/>
      </c>
      <c r="O31" s="3">
        <f>IFERROR((('Raw Data 3Y'!Y19/'Raw Data 3Y'!X19)^(1/3)-1)*100,"")</f>
        <v/>
      </c>
      <c r="P31" s="3">
        <f>IFERROR((('Raw Data 3Y'!AA19/'Raw Data 3Y'!Z19)^(1/3)-1)*100,"")</f>
        <v/>
      </c>
      <c r="Q31" s="3">
        <f>IFERROR((('Raw Data 3Y'!AC19/'Raw Data 3Y'!AB19)^(1/3)-1)*100,"")</f>
        <v/>
      </c>
      <c r="R31" s="3">
        <f>IFERROR((('Raw Data 3Y'!AE19/'Raw Data 3Y'!AD19)^(1/3)-1)*100,"")</f>
        <v/>
      </c>
      <c r="S31" s="3">
        <f>IFERROR((('Raw Data 3Y'!AG19/'Raw Data 3Y'!AF19)^(1/3)-1)*100,"")</f>
        <v/>
      </c>
      <c r="T31" s="3">
        <f>IFERROR((('Raw Data 3Y'!AI19/'Raw Data 3Y'!AH19)^(1/3)-1)*100,"")</f>
        <v/>
      </c>
      <c r="U31" s="3">
        <f>IFERROR((('Raw Data 3Y'!AK19/'Raw Data 3Y'!AJ19)^(1/3)-1)*100,"")</f>
        <v/>
      </c>
      <c r="V31" s="3">
        <f>IFERROR((('Raw Data 3Y'!AM19/'Raw Data 3Y'!AL19)^(1/3)-1)*100,"")</f>
        <v/>
      </c>
      <c r="W31" s="3">
        <f>IFERROR((('Raw Data 3Y'!AO19/'Raw Data 3Y'!AN19)^(1/3)-1)*100,"")</f>
        <v/>
      </c>
      <c r="X31" s="3">
        <f>IF(AND(ISNUMBER(F31),COUNT(F$2:F$46)&gt;=4),IF(F31&gt;=QUARTILE(F$2:F$46,3),1,0),0)+IF(AND(ISNUMBER(G31),COUNT(G$2:G$46)&gt;=4),IF(G31&gt;=QUARTILE(G$2:G$46,3),1,0),0)+IF(AND(ISNUMBER(H31),COUNT(H$2:H$46)&gt;=4),IF(H31&gt;=QUARTILE(H$2:H$46,3),1,0),0)+IF(AND(ISNUMBER(I31),COUNT(I$2:I$46)&gt;=4),IF(I31&gt;=QUARTILE(I$2:I$46,3),1,0),0)+IF(AND(ISNUMBER(J31),COUNT(J$2:J$46)&gt;=4),IF(J31&gt;=QUARTILE(J$2:J$46,3),1,0),0)+IF(AND(ISNUMBER(K31),COUNT(K$2:K$46)&gt;=4),IF(K31&gt;=QUARTILE(K$2:K$46,3),1,0),0)+IF(AND(ISNUMBER(L31),COUNT(L$2:L$46)&gt;=4),IF(L31&gt;=QUARTILE(L$2:L$46,3),1,0),0)+IF(AND(ISNUMBER(M31),COUNT(M$2:M$46)&gt;=4),IF(M31&gt;=QUARTILE(M$2:M$46,3),1,0),0)+IF(AND(ISNUMBER(N31),COUNT(N$2:N$46)&gt;=4),IF(N31&gt;=QUARTILE(N$2:N$46,3),1,0),0)+IF(AND(ISNUMBER(O31),COUNT(O$2:O$46)&gt;=4),IF(O31&gt;=QUARTILE(O$2:O$46,3),1,0),0)+IF(AND(ISNUMBER(P31),COUNT(P$2:P$46)&gt;=4),IF(P31&gt;=QUARTILE(P$2:P$46,3),1,0),0)+IF(AND(ISNUMBER(Q31),COUNT(Q$2:Q$46)&gt;=4),IF(Q31&gt;=QUARTILE(Q$2:Q$46,3),1,0),0)+IF(AND(ISNUMBER(R31),COUNT(R$2:R$46)&gt;=4),IF(R31&gt;=QUARTILE(R$2:R$46,3),1,0),0)+IF(AND(ISNUMBER(S31),COUNT(S$2:S$46)&gt;=4),IF(S31&gt;=QUARTILE(S$2:S$46,3),1,0),0)+IF(AND(ISNUMBER(T31),COUNT(T$2:T$46)&gt;=4),IF(T31&gt;=QUARTILE(T$2:T$46,3),1,0),0)+IF(AND(ISNUMBER(U31),COUNT(U$2:U$46)&gt;=4),IF(U31&gt;=QUARTILE(U$2:U$46,3),1,0),0)+IF(AND(ISNUMBER(V31),COUNT(V$2:V$46)&gt;=4),IF(V31&gt;=QUARTILE(V$2:V$46,3),1,0),0)+IF(AND(ISNUMBER(W31),COUNT(W$2:W$46)&gt;=4),IF(W31&gt;=QUARTILE(W$2:W$46,3),1,0),0)</f>
        <v/>
      </c>
      <c r="Y31" s="3">
        <f>IF(AND(ISNUMBER(F31),COUNT(F$2:F$46)&gt;=4),IF(F31&lt;=QUARTILE(F$2:F$46,1),1,0),0)+IF(AND(ISNUMBER(G31),COUNT(G$2:G$46)&gt;=4),IF(G31&lt;=QUARTILE(G$2:G$46,1),1,0),0)+IF(AND(ISNUMBER(H31),COUNT(H$2:H$46)&gt;=4),IF(H31&lt;=QUARTILE(H$2:H$46,1),1,0),0)+IF(AND(ISNUMBER(I31),COUNT(I$2:I$46)&gt;=4),IF(I31&lt;=QUARTILE(I$2:I$46,1),1,0),0)+IF(AND(ISNUMBER(J31),COUNT(J$2:J$46)&gt;=4),IF(J31&lt;=QUARTILE(J$2:J$46,1),1,0),0)+IF(AND(ISNUMBER(K31),COUNT(K$2:K$46)&gt;=4),IF(K31&lt;=QUARTILE(K$2:K$46,1),1,0),0)+IF(AND(ISNUMBER(L31),COUNT(L$2:L$46)&gt;=4),IF(L31&lt;=QUARTILE(L$2:L$46,1),1,0),0)+IF(AND(ISNUMBER(M31),COUNT(M$2:M$46)&gt;=4),IF(M31&lt;=QUARTILE(M$2:M$46,1),1,0),0)+IF(AND(ISNUMBER(N31),COUNT(N$2:N$46)&gt;=4),IF(N31&lt;=QUARTILE(N$2:N$46,1),1,0),0)+IF(AND(ISNUMBER(O31),COUNT(O$2:O$46)&gt;=4),IF(O31&lt;=QUARTILE(O$2:O$46,1),1,0),0)+IF(AND(ISNUMBER(P31),COUNT(P$2:P$46)&gt;=4),IF(P31&lt;=QUARTILE(P$2:P$46,1),1,0),0)+IF(AND(ISNUMBER(Q31),COUNT(Q$2:Q$46)&gt;=4),IF(Q31&lt;=QUARTILE(Q$2:Q$46,1),1,0),0)+IF(AND(ISNUMBER(R31),COUNT(R$2:R$46)&gt;=4),IF(R31&lt;=QUARTILE(R$2:R$46,1),1,0),0)+IF(AND(ISNUMBER(S31),COUNT(S$2:S$46)&gt;=4),IF(S31&lt;=QUARTILE(S$2:S$46,1),1,0),0)+IF(AND(ISNUMBER(T31),COUNT(T$2:T$46)&gt;=4),IF(T31&lt;=QUARTILE(T$2:T$46,1),1,0),0)+IF(AND(ISNUMBER(U31),COUNT(U$2:U$46)&gt;=4),IF(U31&lt;=QUARTILE(U$2:U$46,1),1,0),0)+IF(AND(ISNUMBER(V31),COUNT(V$2:V$46)&gt;=4),IF(V31&lt;=QUARTILE(V$2:V$46,1),1,0),0)+IF(AND(ISNUMBER(W31),COUNT(W$2:W$46)&gt;=4),IF(W31&lt;=QUARTILE(W$2:W$46,1),1,0),0)</f>
        <v/>
      </c>
      <c r="Z31" s="3">
        <f>IF(Y31=0,X31,ROUND(X31/Y31,2))</f>
        <v/>
      </c>
      <c r="AA31" s="3">
        <f>IFERROR(IF(VLOOKUP(A31,'Raw Data 3Y'!A:AP,42,FALSE)="","none",VLOOKUP(A31,'Raw Data 3Y'!A:AP,42,FALSE)),"none")</f>
        <v/>
      </c>
      <c r="AB31" s="4" t="inlineStr">
        <is>
          <t>Source</t>
        </is>
      </c>
    </row>
    <row r="32">
      <c r="A32">
        <f>'Raw Data 3Y'!A40</f>
        <v/>
      </c>
      <c r="B32" s="3">
        <f>IFERROR((('Raw Data 3Y'!C40/'Raw Data 3Y'!B40)^(1/'Raw Data 3Y'!D40)-1)*100,"")</f>
        <v/>
      </c>
      <c r="C32" s="3">
        <f>'Raw Data 3Y'!E40</f>
        <v/>
      </c>
      <c r="D32" s="3">
        <f>INT('Raw Data 3Y'!D40)</f>
        <v/>
      </c>
      <c r="E32" s="3">
        <f>IFERROR(AVERAGE(F32:W32),"")</f>
        <v/>
      </c>
      <c r="F32" s="3">
        <f>IFERROR((('Raw Data 3Y'!G40/'Raw Data 3Y'!F40)^(1/3)-1)*100,"")</f>
        <v/>
      </c>
      <c r="G32" s="3">
        <f>IFERROR((('Raw Data 3Y'!I40/'Raw Data 3Y'!H40)^(1/3)-1)*100,"")</f>
        <v/>
      </c>
      <c r="H32" s="3">
        <f>IFERROR((('Raw Data 3Y'!K40/'Raw Data 3Y'!J40)^(1/3)-1)*100,"")</f>
        <v/>
      </c>
      <c r="I32" s="3">
        <f>IFERROR((('Raw Data 3Y'!M40/'Raw Data 3Y'!L40)^(1/3)-1)*100,"")</f>
        <v/>
      </c>
      <c r="J32" s="3">
        <f>IFERROR((('Raw Data 3Y'!O40/'Raw Data 3Y'!N40)^(1/3)-1)*100,"")</f>
        <v/>
      </c>
      <c r="K32" s="3">
        <f>IFERROR((('Raw Data 3Y'!Q40/'Raw Data 3Y'!P40)^(1/3)-1)*100,"")</f>
        <v/>
      </c>
      <c r="L32" s="3">
        <f>IFERROR((('Raw Data 3Y'!S40/'Raw Data 3Y'!R40)^(1/3)-1)*100,"")</f>
        <v/>
      </c>
      <c r="M32" s="3">
        <f>IFERROR((('Raw Data 3Y'!U40/'Raw Data 3Y'!T40)^(1/3)-1)*100,"")</f>
        <v/>
      </c>
      <c r="N32" s="3">
        <f>IFERROR((('Raw Data 3Y'!W40/'Raw Data 3Y'!V40)^(1/3)-1)*100,"")</f>
        <v/>
      </c>
      <c r="O32" s="3">
        <f>IFERROR((('Raw Data 3Y'!Y40/'Raw Data 3Y'!X40)^(1/3)-1)*100,"")</f>
        <v/>
      </c>
      <c r="P32" s="3">
        <f>IFERROR((('Raw Data 3Y'!AA40/'Raw Data 3Y'!Z40)^(1/3)-1)*100,"")</f>
        <v/>
      </c>
      <c r="Q32" s="3">
        <f>IFERROR((('Raw Data 3Y'!AC40/'Raw Data 3Y'!AB40)^(1/3)-1)*100,"")</f>
        <v/>
      </c>
      <c r="R32" s="3">
        <f>IFERROR((('Raw Data 3Y'!AE40/'Raw Data 3Y'!AD40)^(1/3)-1)*100,"")</f>
        <v/>
      </c>
      <c r="S32" s="3">
        <f>IFERROR((('Raw Data 3Y'!AG40/'Raw Data 3Y'!AF40)^(1/3)-1)*100,"")</f>
        <v/>
      </c>
      <c r="T32" s="3">
        <f>IFERROR((('Raw Data 3Y'!AI40/'Raw Data 3Y'!AH40)^(1/3)-1)*100,"")</f>
        <v/>
      </c>
      <c r="U32" s="3">
        <f>IFERROR((('Raw Data 3Y'!AK40/'Raw Data 3Y'!AJ40)^(1/3)-1)*100,"")</f>
        <v/>
      </c>
      <c r="V32" s="3">
        <f>IFERROR((('Raw Data 3Y'!AM40/'Raw Data 3Y'!AL40)^(1/3)-1)*100,"")</f>
        <v/>
      </c>
      <c r="W32" s="3">
        <f>IFERROR((('Raw Data 3Y'!AO40/'Raw Data 3Y'!AN40)^(1/3)-1)*100,"")</f>
        <v/>
      </c>
      <c r="X32" s="3">
        <f>IF(AND(ISNUMBER(F32),COUNT(F$2:F$46)&gt;=4),IF(F32&gt;=QUARTILE(F$2:F$46,3),1,0),0)+IF(AND(ISNUMBER(G32),COUNT(G$2:G$46)&gt;=4),IF(G32&gt;=QUARTILE(G$2:G$46,3),1,0),0)+IF(AND(ISNUMBER(H32),COUNT(H$2:H$46)&gt;=4),IF(H32&gt;=QUARTILE(H$2:H$46,3),1,0),0)+IF(AND(ISNUMBER(I32),COUNT(I$2:I$46)&gt;=4),IF(I32&gt;=QUARTILE(I$2:I$46,3),1,0),0)+IF(AND(ISNUMBER(J32),COUNT(J$2:J$46)&gt;=4),IF(J32&gt;=QUARTILE(J$2:J$46,3),1,0),0)+IF(AND(ISNUMBER(K32),COUNT(K$2:K$46)&gt;=4),IF(K32&gt;=QUARTILE(K$2:K$46,3),1,0),0)+IF(AND(ISNUMBER(L32),COUNT(L$2:L$46)&gt;=4),IF(L32&gt;=QUARTILE(L$2:L$46,3),1,0),0)+IF(AND(ISNUMBER(M32),COUNT(M$2:M$46)&gt;=4),IF(M32&gt;=QUARTILE(M$2:M$46,3),1,0),0)+IF(AND(ISNUMBER(N32),COUNT(N$2:N$46)&gt;=4),IF(N32&gt;=QUARTILE(N$2:N$46,3),1,0),0)+IF(AND(ISNUMBER(O32),COUNT(O$2:O$46)&gt;=4),IF(O32&gt;=QUARTILE(O$2:O$46,3),1,0),0)+IF(AND(ISNUMBER(P32),COUNT(P$2:P$46)&gt;=4),IF(P32&gt;=QUARTILE(P$2:P$46,3),1,0),0)+IF(AND(ISNUMBER(Q32),COUNT(Q$2:Q$46)&gt;=4),IF(Q32&gt;=QUARTILE(Q$2:Q$46,3),1,0),0)+IF(AND(ISNUMBER(R32),COUNT(R$2:R$46)&gt;=4),IF(R32&gt;=QUARTILE(R$2:R$46,3),1,0),0)+IF(AND(ISNUMBER(S32),COUNT(S$2:S$46)&gt;=4),IF(S32&gt;=QUARTILE(S$2:S$46,3),1,0),0)+IF(AND(ISNUMBER(T32),COUNT(T$2:T$46)&gt;=4),IF(T32&gt;=QUARTILE(T$2:T$46,3),1,0),0)+IF(AND(ISNUMBER(U32),COUNT(U$2:U$46)&gt;=4),IF(U32&gt;=QUARTILE(U$2:U$46,3),1,0),0)+IF(AND(ISNUMBER(V32),COUNT(V$2:V$46)&gt;=4),IF(V32&gt;=QUARTILE(V$2:V$46,3),1,0),0)+IF(AND(ISNUMBER(W32),COUNT(W$2:W$46)&gt;=4),IF(W32&gt;=QUARTILE(W$2:W$46,3),1,0),0)</f>
        <v/>
      </c>
      <c r="Y32" s="3">
        <f>IF(AND(ISNUMBER(F32),COUNT(F$2:F$46)&gt;=4),IF(F32&lt;=QUARTILE(F$2:F$46,1),1,0),0)+IF(AND(ISNUMBER(G32),COUNT(G$2:G$46)&gt;=4),IF(G32&lt;=QUARTILE(G$2:G$46,1),1,0),0)+IF(AND(ISNUMBER(H32),COUNT(H$2:H$46)&gt;=4),IF(H32&lt;=QUARTILE(H$2:H$46,1),1,0),0)+IF(AND(ISNUMBER(I32),COUNT(I$2:I$46)&gt;=4),IF(I32&lt;=QUARTILE(I$2:I$46,1),1,0),0)+IF(AND(ISNUMBER(J32),COUNT(J$2:J$46)&gt;=4),IF(J32&lt;=QUARTILE(J$2:J$46,1),1,0),0)+IF(AND(ISNUMBER(K32),COUNT(K$2:K$46)&gt;=4),IF(K32&lt;=QUARTILE(K$2:K$46,1),1,0),0)+IF(AND(ISNUMBER(L32),COUNT(L$2:L$46)&gt;=4),IF(L32&lt;=QUARTILE(L$2:L$46,1),1,0),0)+IF(AND(ISNUMBER(M32),COUNT(M$2:M$46)&gt;=4),IF(M32&lt;=QUARTILE(M$2:M$46,1),1,0),0)+IF(AND(ISNUMBER(N32),COUNT(N$2:N$46)&gt;=4),IF(N32&lt;=QUARTILE(N$2:N$46,1),1,0),0)+IF(AND(ISNUMBER(O32),COUNT(O$2:O$46)&gt;=4),IF(O32&lt;=QUARTILE(O$2:O$46,1),1,0),0)+IF(AND(ISNUMBER(P32),COUNT(P$2:P$46)&gt;=4),IF(P32&lt;=QUARTILE(P$2:P$46,1),1,0),0)+IF(AND(ISNUMBER(Q32),COUNT(Q$2:Q$46)&gt;=4),IF(Q32&lt;=QUARTILE(Q$2:Q$46,1),1,0),0)+IF(AND(ISNUMBER(R32),COUNT(R$2:R$46)&gt;=4),IF(R32&lt;=QUARTILE(R$2:R$46,1),1,0),0)+IF(AND(ISNUMBER(S32),COUNT(S$2:S$46)&gt;=4),IF(S32&lt;=QUARTILE(S$2:S$46,1),1,0),0)+IF(AND(ISNUMBER(T32),COUNT(T$2:T$46)&gt;=4),IF(T32&lt;=QUARTILE(T$2:T$46,1),1,0),0)+IF(AND(ISNUMBER(U32),COUNT(U$2:U$46)&gt;=4),IF(U32&lt;=QUARTILE(U$2:U$46,1),1,0),0)+IF(AND(ISNUMBER(V32),COUNT(V$2:V$46)&gt;=4),IF(V32&lt;=QUARTILE(V$2:V$46,1),1,0),0)+IF(AND(ISNUMBER(W32),COUNT(W$2:W$46)&gt;=4),IF(W32&lt;=QUARTILE(W$2:W$46,1),1,0),0)</f>
        <v/>
      </c>
      <c r="Z32" s="3">
        <f>IF(Y32=0,X32,ROUND(X32/Y32,2))</f>
        <v/>
      </c>
      <c r="AA32" s="3">
        <f>IFERROR(IF(VLOOKUP(A32,'Raw Data 3Y'!A:AP,42,FALSE)="","none",VLOOKUP(A32,'Raw Data 3Y'!A:AP,42,FALSE)),"none")</f>
        <v/>
      </c>
      <c r="AB32" s="4" t="inlineStr">
        <is>
          <t>Source</t>
        </is>
      </c>
    </row>
    <row r="33">
      <c r="A33">
        <f>'Raw Data 3Y'!A43</f>
        <v/>
      </c>
      <c r="B33" s="3">
        <f>IFERROR((('Raw Data 3Y'!C43/'Raw Data 3Y'!B43)^(1/'Raw Data 3Y'!D43)-1)*100,"")</f>
        <v/>
      </c>
      <c r="C33" s="3">
        <f>'Raw Data 3Y'!E43</f>
        <v/>
      </c>
      <c r="D33" s="3">
        <f>INT('Raw Data 3Y'!D43)</f>
        <v/>
      </c>
      <c r="E33" s="3">
        <f>IFERROR(AVERAGE(F33:W33),"")</f>
        <v/>
      </c>
      <c r="F33" s="3">
        <f>IFERROR((('Raw Data 3Y'!G43/'Raw Data 3Y'!F43)^(1/3)-1)*100,"")</f>
        <v/>
      </c>
      <c r="G33" s="3">
        <f>IFERROR((('Raw Data 3Y'!I43/'Raw Data 3Y'!H43)^(1/3)-1)*100,"")</f>
        <v/>
      </c>
      <c r="H33" s="3">
        <f>IFERROR((('Raw Data 3Y'!K43/'Raw Data 3Y'!J43)^(1/3)-1)*100,"")</f>
        <v/>
      </c>
      <c r="I33" s="3">
        <f>IFERROR((('Raw Data 3Y'!M43/'Raw Data 3Y'!L43)^(1/3)-1)*100,"")</f>
        <v/>
      </c>
      <c r="J33" s="3">
        <f>IFERROR((('Raw Data 3Y'!O43/'Raw Data 3Y'!N43)^(1/3)-1)*100,"")</f>
        <v/>
      </c>
      <c r="K33" s="3">
        <f>IFERROR((('Raw Data 3Y'!Q43/'Raw Data 3Y'!P43)^(1/3)-1)*100,"")</f>
        <v/>
      </c>
      <c r="L33" s="3">
        <f>IFERROR((('Raw Data 3Y'!S43/'Raw Data 3Y'!R43)^(1/3)-1)*100,"")</f>
        <v/>
      </c>
      <c r="M33" s="3">
        <f>IFERROR((('Raw Data 3Y'!U43/'Raw Data 3Y'!T43)^(1/3)-1)*100,"")</f>
        <v/>
      </c>
      <c r="N33" s="3">
        <f>IFERROR((('Raw Data 3Y'!W43/'Raw Data 3Y'!V43)^(1/3)-1)*100,"")</f>
        <v/>
      </c>
      <c r="O33" s="3">
        <f>IFERROR((('Raw Data 3Y'!Y43/'Raw Data 3Y'!X43)^(1/3)-1)*100,"")</f>
        <v/>
      </c>
      <c r="P33" s="3">
        <f>IFERROR((('Raw Data 3Y'!AA43/'Raw Data 3Y'!Z43)^(1/3)-1)*100,"")</f>
        <v/>
      </c>
      <c r="Q33" s="3">
        <f>IFERROR((('Raw Data 3Y'!AC43/'Raw Data 3Y'!AB43)^(1/3)-1)*100,"")</f>
        <v/>
      </c>
      <c r="R33" s="3">
        <f>IFERROR((('Raw Data 3Y'!AE43/'Raw Data 3Y'!AD43)^(1/3)-1)*100,"")</f>
        <v/>
      </c>
      <c r="S33" s="3">
        <f>IFERROR((('Raw Data 3Y'!AG43/'Raw Data 3Y'!AF43)^(1/3)-1)*100,"")</f>
        <v/>
      </c>
      <c r="T33" s="3">
        <f>IFERROR((('Raw Data 3Y'!AI43/'Raw Data 3Y'!AH43)^(1/3)-1)*100,"")</f>
        <v/>
      </c>
      <c r="U33" s="3">
        <f>IFERROR((('Raw Data 3Y'!AK43/'Raw Data 3Y'!AJ43)^(1/3)-1)*100,"")</f>
        <v/>
      </c>
      <c r="V33" s="3">
        <f>IFERROR((('Raw Data 3Y'!AM43/'Raw Data 3Y'!AL43)^(1/3)-1)*100,"")</f>
        <v/>
      </c>
      <c r="W33" s="3">
        <f>IFERROR((('Raw Data 3Y'!AO43/'Raw Data 3Y'!AN43)^(1/3)-1)*100,"")</f>
        <v/>
      </c>
      <c r="X33" s="3">
        <f>IF(AND(ISNUMBER(F33),COUNT(F$2:F$46)&gt;=4),IF(F33&gt;=QUARTILE(F$2:F$46,3),1,0),0)+IF(AND(ISNUMBER(G33),COUNT(G$2:G$46)&gt;=4),IF(G33&gt;=QUARTILE(G$2:G$46,3),1,0),0)+IF(AND(ISNUMBER(H33),COUNT(H$2:H$46)&gt;=4),IF(H33&gt;=QUARTILE(H$2:H$46,3),1,0),0)+IF(AND(ISNUMBER(I33),COUNT(I$2:I$46)&gt;=4),IF(I33&gt;=QUARTILE(I$2:I$46,3),1,0),0)+IF(AND(ISNUMBER(J33),COUNT(J$2:J$46)&gt;=4),IF(J33&gt;=QUARTILE(J$2:J$46,3),1,0),0)+IF(AND(ISNUMBER(K33),COUNT(K$2:K$46)&gt;=4),IF(K33&gt;=QUARTILE(K$2:K$46,3),1,0),0)+IF(AND(ISNUMBER(L33),COUNT(L$2:L$46)&gt;=4),IF(L33&gt;=QUARTILE(L$2:L$46,3),1,0),0)+IF(AND(ISNUMBER(M33),COUNT(M$2:M$46)&gt;=4),IF(M33&gt;=QUARTILE(M$2:M$46,3),1,0),0)+IF(AND(ISNUMBER(N33),COUNT(N$2:N$46)&gt;=4),IF(N33&gt;=QUARTILE(N$2:N$46,3),1,0),0)+IF(AND(ISNUMBER(O33),COUNT(O$2:O$46)&gt;=4),IF(O33&gt;=QUARTILE(O$2:O$46,3),1,0),0)+IF(AND(ISNUMBER(P33),COUNT(P$2:P$46)&gt;=4),IF(P33&gt;=QUARTILE(P$2:P$46,3),1,0),0)+IF(AND(ISNUMBER(Q33),COUNT(Q$2:Q$46)&gt;=4),IF(Q33&gt;=QUARTILE(Q$2:Q$46,3),1,0),0)+IF(AND(ISNUMBER(R33),COUNT(R$2:R$46)&gt;=4),IF(R33&gt;=QUARTILE(R$2:R$46,3),1,0),0)+IF(AND(ISNUMBER(S33),COUNT(S$2:S$46)&gt;=4),IF(S33&gt;=QUARTILE(S$2:S$46,3),1,0),0)+IF(AND(ISNUMBER(T33),COUNT(T$2:T$46)&gt;=4),IF(T33&gt;=QUARTILE(T$2:T$46,3),1,0),0)+IF(AND(ISNUMBER(U33),COUNT(U$2:U$46)&gt;=4),IF(U33&gt;=QUARTILE(U$2:U$46,3),1,0),0)+IF(AND(ISNUMBER(V33),COUNT(V$2:V$46)&gt;=4),IF(V33&gt;=QUARTILE(V$2:V$46,3),1,0),0)+IF(AND(ISNUMBER(W33),COUNT(W$2:W$46)&gt;=4),IF(W33&gt;=QUARTILE(W$2:W$46,3),1,0),0)</f>
        <v/>
      </c>
      <c r="Y33" s="3">
        <f>IF(AND(ISNUMBER(F33),COUNT(F$2:F$46)&gt;=4),IF(F33&lt;=QUARTILE(F$2:F$46,1),1,0),0)+IF(AND(ISNUMBER(G33),COUNT(G$2:G$46)&gt;=4),IF(G33&lt;=QUARTILE(G$2:G$46,1),1,0),0)+IF(AND(ISNUMBER(H33),COUNT(H$2:H$46)&gt;=4),IF(H33&lt;=QUARTILE(H$2:H$46,1),1,0),0)+IF(AND(ISNUMBER(I33),COUNT(I$2:I$46)&gt;=4),IF(I33&lt;=QUARTILE(I$2:I$46,1),1,0),0)+IF(AND(ISNUMBER(J33),COUNT(J$2:J$46)&gt;=4),IF(J33&lt;=QUARTILE(J$2:J$46,1),1,0),0)+IF(AND(ISNUMBER(K33),COUNT(K$2:K$46)&gt;=4),IF(K33&lt;=QUARTILE(K$2:K$46,1),1,0),0)+IF(AND(ISNUMBER(L33),COUNT(L$2:L$46)&gt;=4),IF(L33&lt;=QUARTILE(L$2:L$46,1),1,0),0)+IF(AND(ISNUMBER(M33),COUNT(M$2:M$46)&gt;=4),IF(M33&lt;=QUARTILE(M$2:M$46,1),1,0),0)+IF(AND(ISNUMBER(N33),COUNT(N$2:N$46)&gt;=4),IF(N33&lt;=QUARTILE(N$2:N$46,1),1,0),0)+IF(AND(ISNUMBER(O33),COUNT(O$2:O$46)&gt;=4),IF(O33&lt;=QUARTILE(O$2:O$46,1),1,0),0)+IF(AND(ISNUMBER(P33),COUNT(P$2:P$46)&gt;=4),IF(P33&lt;=QUARTILE(P$2:P$46,1),1,0),0)+IF(AND(ISNUMBER(Q33),COUNT(Q$2:Q$46)&gt;=4),IF(Q33&lt;=QUARTILE(Q$2:Q$46,1),1,0),0)+IF(AND(ISNUMBER(R33),COUNT(R$2:R$46)&gt;=4),IF(R33&lt;=QUARTILE(R$2:R$46,1),1,0),0)+IF(AND(ISNUMBER(S33),COUNT(S$2:S$46)&gt;=4),IF(S33&lt;=QUARTILE(S$2:S$46,1),1,0),0)+IF(AND(ISNUMBER(T33),COUNT(T$2:T$46)&gt;=4),IF(T33&lt;=QUARTILE(T$2:T$46,1),1,0),0)+IF(AND(ISNUMBER(U33),COUNT(U$2:U$46)&gt;=4),IF(U33&lt;=QUARTILE(U$2:U$46,1),1,0),0)+IF(AND(ISNUMBER(V33),COUNT(V$2:V$46)&gt;=4),IF(V33&lt;=QUARTILE(V$2:V$46,1),1,0),0)+IF(AND(ISNUMBER(W33),COUNT(W$2:W$46)&gt;=4),IF(W33&lt;=QUARTILE(W$2:W$46,1),1,0),0)</f>
        <v/>
      </c>
      <c r="Z33" s="3">
        <f>IF(Y33=0,X33,ROUND(X33/Y33,2))</f>
        <v/>
      </c>
      <c r="AA33" s="3">
        <f>IFERROR(IF(VLOOKUP(A33,'Raw Data 3Y'!A:AP,42,FALSE)="","none",VLOOKUP(A33,'Raw Data 3Y'!A:AP,42,FALSE)),"none")</f>
        <v/>
      </c>
      <c r="AB33" s="4" t="inlineStr">
        <is>
          <t>Source</t>
        </is>
      </c>
    </row>
    <row r="34">
      <c r="A34">
        <f>'Raw Data 3Y'!A42</f>
        <v/>
      </c>
      <c r="B34" s="3">
        <f>IFERROR((('Raw Data 3Y'!C42/'Raw Data 3Y'!B42)^(1/'Raw Data 3Y'!D42)-1)*100,"")</f>
        <v/>
      </c>
      <c r="C34" s="3">
        <f>'Raw Data 3Y'!E42</f>
        <v/>
      </c>
      <c r="D34" s="3">
        <f>INT('Raw Data 3Y'!D42)</f>
        <v/>
      </c>
      <c r="E34" s="3">
        <f>IFERROR(AVERAGE(F34:W34),"")</f>
        <v/>
      </c>
      <c r="F34" s="3">
        <f>IFERROR((('Raw Data 3Y'!G42/'Raw Data 3Y'!F42)^(1/3)-1)*100,"")</f>
        <v/>
      </c>
      <c r="G34" s="3">
        <f>IFERROR((('Raw Data 3Y'!I42/'Raw Data 3Y'!H42)^(1/3)-1)*100,"")</f>
        <v/>
      </c>
      <c r="H34" s="3">
        <f>IFERROR((('Raw Data 3Y'!K42/'Raw Data 3Y'!J42)^(1/3)-1)*100,"")</f>
        <v/>
      </c>
      <c r="I34" s="3">
        <f>IFERROR((('Raw Data 3Y'!M42/'Raw Data 3Y'!L42)^(1/3)-1)*100,"")</f>
        <v/>
      </c>
      <c r="J34" s="3">
        <f>IFERROR((('Raw Data 3Y'!O42/'Raw Data 3Y'!N42)^(1/3)-1)*100,"")</f>
        <v/>
      </c>
      <c r="K34" s="3">
        <f>IFERROR((('Raw Data 3Y'!Q42/'Raw Data 3Y'!P42)^(1/3)-1)*100,"")</f>
        <v/>
      </c>
      <c r="L34" s="3">
        <f>IFERROR((('Raw Data 3Y'!S42/'Raw Data 3Y'!R42)^(1/3)-1)*100,"")</f>
        <v/>
      </c>
      <c r="M34" s="3">
        <f>IFERROR((('Raw Data 3Y'!U42/'Raw Data 3Y'!T42)^(1/3)-1)*100,"")</f>
        <v/>
      </c>
      <c r="N34" s="3">
        <f>IFERROR((('Raw Data 3Y'!W42/'Raw Data 3Y'!V42)^(1/3)-1)*100,"")</f>
        <v/>
      </c>
      <c r="O34" s="3">
        <f>IFERROR((('Raw Data 3Y'!Y42/'Raw Data 3Y'!X42)^(1/3)-1)*100,"")</f>
        <v/>
      </c>
      <c r="P34" s="3">
        <f>IFERROR((('Raw Data 3Y'!AA42/'Raw Data 3Y'!Z42)^(1/3)-1)*100,"")</f>
        <v/>
      </c>
      <c r="Q34" s="3">
        <f>IFERROR((('Raw Data 3Y'!AC42/'Raw Data 3Y'!AB42)^(1/3)-1)*100,"")</f>
        <v/>
      </c>
      <c r="R34" s="3">
        <f>IFERROR((('Raw Data 3Y'!AE42/'Raw Data 3Y'!AD42)^(1/3)-1)*100,"")</f>
        <v/>
      </c>
      <c r="S34" s="3">
        <f>IFERROR((('Raw Data 3Y'!AG42/'Raw Data 3Y'!AF42)^(1/3)-1)*100,"")</f>
        <v/>
      </c>
      <c r="T34" s="3">
        <f>IFERROR((('Raw Data 3Y'!AI42/'Raw Data 3Y'!AH42)^(1/3)-1)*100,"")</f>
        <v/>
      </c>
      <c r="U34" s="3">
        <f>IFERROR((('Raw Data 3Y'!AK42/'Raw Data 3Y'!AJ42)^(1/3)-1)*100,"")</f>
        <v/>
      </c>
      <c r="V34" s="3">
        <f>IFERROR((('Raw Data 3Y'!AM42/'Raw Data 3Y'!AL42)^(1/3)-1)*100,"")</f>
        <v/>
      </c>
      <c r="W34" s="3">
        <f>IFERROR((('Raw Data 3Y'!AO42/'Raw Data 3Y'!AN42)^(1/3)-1)*100,"")</f>
        <v/>
      </c>
      <c r="X34" s="3">
        <f>IF(AND(ISNUMBER(F34),COUNT(F$2:F$46)&gt;=4),IF(F34&gt;=QUARTILE(F$2:F$46,3),1,0),0)+IF(AND(ISNUMBER(G34),COUNT(G$2:G$46)&gt;=4),IF(G34&gt;=QUARTILE(G$2:G$46,3),1,0),0)+IF(AND(ISNUMBER(H34),COUNT(H$2:H$46)&gt;=4),IF(H34&gt;=QUARTILE(H$2:H$46,3),1,0),0)+IF(AND(ISNUMBER(I34),COUNT(I$2:I$46)&gt;=4),IF(I34&gt;=QUARTILE(I$2:I$46,3),1,0),0)+IF(AND(ISNUMBER(J34),COUNT(J$2:J$46)&gt;=4),IF(J34&gt;=QUARTILE(J$2:J$46,3),1,0),0)+IF(AND(ISNUMBER(K34),COUNT(K$2:K$46)&gt;=4),IF(K34&gt;=QUARTILE(K$2:K$46,3),1,0),0)+IF(AND(ISNUMBER(L34),COUNT(L$2:L$46)&gt;=4),IF(L34&gt;=QUARTILE(L$2:L$46,3),1,0),0)+IF(AND(ISNUMBER(M34),COUNT(M$2:M$46)&gt;=4),IF(M34&gt;=QUARTILE(M$2:M$46,3),1,0),0)+IF(AND(ISNUMBER(N34),COUNT(N$2:N$46)&gt;=4),IF(N34&gt;=QUARTILE(N$2:N$46,3),1,0),0)+IF(AND(ISNUMBER(O34),COUNT(O$2:O$46)&gt;=4),IF(O34&gt;=QUARTILE(O$2:O$46,3),1,0),0)+IF(AND(ISNUMBER(P34),COUNT(P$2:P$46)&gt;=4),IF(P34&gt;=QUARTILE(P$2:P$46,3),1,0),0)+IF(AND(ISNUMBER(Q34),COUNT(Q$2:Q$46)&gt;=4),IF(Q34&gt;=QUARTILE(Q$2:Q$46,3),1,0),0)+IF(AND(ISNUMBER(R34),COUNT(R$2:R$46)&gt;=4),IF(R34&gt;=QUARTILE(R$2:R$46,3),1,0),0)+IF(AND(ISNUMBER(S34),COUNT(S$2:S$46)&gt;=4),IF(S34&gt;=QUARTILE(S$2:S$46,3),1,0),0)+IF(AND(ISNUMBER(T34),COUNT(T$2:T$46)&gt;=4),IF(T34&gt;=QUARTILE(T$2:T$46,3),1,0),0)+IF(AND(ISNUMBER(U34),COUNT(U$2:U$46)&gt;=4),IF(U34&gt;=QUARTILE(U$2:U$46,3),1,0),0)+IF(AND(ISNUMBER(V34),COUNT(V$2:V$46)&gt;=4),IF(V34&gt;=QUARTILE(V$2:V$46,3),1,0),0)+IF(AND(ISNUMBER(W34),COUNT(W$2:W$46)&gt;=4),IF(W34&gt;=QUARTILE(W$2:W$46,3),1,0),0)</f>
        <v/>
      </c>
      <c r="Y34" s="3">
        <f>IF(AND(ISNUMBER(F34),COUNT(F$2:F$46)&gt;=4),IF(F34&lt;=QUARTILE(F$2:F$46,1),1,0),0)+IF(AND(ISNUMBER(G34),COUNT(G$2:G$46)&gt;=4),IF(G34&lt;=QUARTILE(G$2:G$46,1),1,0),0)+IF(AND(ISNUMBER(H34),COUNT(H$2:H$46)&gt;=4),IF(H34&lt;=QUARTILE(H$2:H$46,1),1,0),0)+IF(AND(ISNUMBER(I34),COUNT(I$2:I$46)&gt;=4),IF(I34&lt;=QUARTILE(I$2:I$46,1),1,0),0)+IF(AND(ISNUMBER(J34),COUNT(J$2:J$46)&gt;=4),IF(J34&lt;=QUARTILE(J$2:J$46,1),1,0),0)+IF(AND(ISNUMBER(K34),COUNT(K$2:K$46)&gt;=4),IF(K34&lt;=QUARTILE(K$2:K$46,1),1,0),0)+IF(AND(ISNUMBER(L34),COUNT(L$2:L$46)&gt;=4),IF(L34&lt;=QUARTILE(L$2:L$46,1),1,0),0)+IF(AND(ISNUMBER(M34),COUNT(M$2:M$46)&gt;=4),IF(M34&lt;=QUARTILE(M$2:M$46,1),1,0),0)+IF(AND(ISNUMBER(N34),COUNT(N$2:N$46)&gt;=4),IF(N34&lt;=QUARTILE(N$2:N$46,1),1,0),0)+IF(AND(ISNUMBER(O34),COUNT(O$2:O$46)&gt;=4),IF(O34&lt;=QUARTILE(O$2:O$46,1),1,0),0)+IF(AND(ISNUMBER(P34),COUNT(P$2:P$46)&gt;=4),IF(P34&lt;=QUARTILE(P$2:P$46,1),1,0),0)+IF(AND(ISNUMBER(Q34),COUNT(Q$2:Q$46)&gt;=4),IF(Q34&lt;=QUARTILE(Q$2:Q$46,1),1,0),0)+IF(AND(ISNUMBER(R34),COUNT(R$2:R$46)&gt;=4),IF(R34&lt;=QUARTILE(R$2:R$46,1),1,0),0)+IF(AND(ISNUMBER(S34),COUNT(S$2:S$46)&gt;=4),IF(S34&lt;=QUARTILE(S$2:S$46,1),1,0),0)+IF(AND(ISNUMBER(T34),COUNT(T$2:T$46)&gt;=4),IF(T34&lt;=QUARTILE(T$2:T$46,1),1,0),0)+IF(AND(ISNUMBER(U34),COUNT(U$2:U$46)&gt;=4),IF(U34&lt;=QUARTILE(U$2:U$46,1),1,0),0)+IF(AND(ISNUMBER(V34),COUNT(V$2:V$46)&gt;=4),IF(V34&lt;=QUARTILE(V$2:V$46,1),1,0),0)+IF(AND(ISNUMBER(W34),COUNT(W$2:W$46)&gt;=4),IF(W34&lt;=QUARTILE(W$2:W$46,1),1,0),0)</f>
        <v/>
      </c>
      <c r="Z34" s="3">
        <f>IF(Y34=0,X34,ROUND(X34/Y34,2))</f>
        <v/>
      </c>
      <c r="AA34" s="3">
        <f>IFERROR(IF(VLOOKUP(A34,'Raw Data 3Y'!A:AP,42,FALSE)="","none",VLOOKUP(A34,'Raw Data 3Y'!A:AP,42,FALSE)),"none")</f>
        <v/>
      </c>
      <c r="AB34" s="4" t="inlineStr">
        <is>
          <t>Source</t>
        </is>
      </c>
    </row>
    <row r="35">
      <c r="A35">
        <f>'Raw Data 3Y'!A25</f>
        <v/>
      </c>
      <c r="B35" s="3">
        <f>IFERROR((('Raw Data 3Y'!C25/'Raw Data 3Y'!B25)^(1/'Raw Data 3Y'!D25)-1)*100,"")</f>
        <v/>
      </c>
      <c r="C35" s="3">
        <f>'Raw Data 3Y'!E25</f>
        <v/>
      </c>
      <c r="D35" s="3">
        <f>INT('Raw Data 3Y'!D25)</f>
        <v/>
      </c>
      <c r="E35" s="3">
        <f>IFERROR(AVERAGE(F35:W35),"")</f>
        <v/>
      </c>
      <c r="F35" s="3">
        <f>IFERROR((('Raw Data 3Y'!G25/'Raw Data 3Y'!F25)^(1/3)-1)*100,"")</f>
        <v/>
      </c>
      <c r="G35" s="3">
        <f>IFERROR((('Raw Data 3Y'!I25/'Raw Data 3Y'!H25)^(1/3)-1)*100,"")</f>
        <v/>
      </c>
      <c r="H35" s="3">
        <f>IFERROR((('Raw Data 3Y'!K25/'Raw Data 3Y'!J25)^(1/3)-1)*100,"")</f>
        <v/>
      </c>
      <c r="I35" s="3">
        <f>IFERROR((('Raw Data 3Y'!M25/'Raw Data 3Y'!L25)^(1/3)-1)*100,"")</f>
        <v/>
      </c>
      <c r="J35" s="3">
        <f>IFERROR((('Raw Data 3Y'!O25/'Raw Data 3Y'!N25)^(1/3)-1)*100,"")</f>
        <v/>
      </c>
      <c r="K35" s="3">
        <f>IFERROR((('Raw Data 3Y'!Q25/'Raw Data 3Y'!P25)^(1/3)-1)*100,"")</f>
        <v/>
      </c>
      <c r="L35" s="3">
        <f>IFERROR((('Raw Data 3Y'!S25/'Raw Data 3Y'!R25)^(1/3)-1)*100,"")</f>
        <v/>
      </c>
      <c r="M35" s="3">
        <f>IFERROR((('Raw Data 3Y'!U25/'Raw Data 3Y'!T25)^(1/3)-1)*100,"")</f>
        <v/>
      </c>
      <c r="N35" s="3">
        <f>IFERROR((('Raw Data 3Y'!W25/'Raw Data 3Y'!V25)^(1/3)-1)*100,"")</f>
        <v/>
      </c>
      <c r="O35" s="3">
        <f>IFERROR((('Raw Data 3Y'!Y25/'Raw Data 3Y'!X25)^(1/3)-1)*100,"")</f>
        <v/>
      </c>
      <c r="P35" s="3">
        <f>IFERROR((('Raw Data 3Y'!AA25/'Raw Data 3Y'!Z25)^(1/3)-1)*100,"")</f>
        <v/>
      </c>
      <c r="Q35" s="3">
        <f>IFERROR((('Raw Data 3Y'!AC25/'Raw Data 3Y'!AB25)^(1/3)-1)*100,"")</f>
        <v/>
      </c>
      <c r="R35" s="3">
        <f>IFERROR((('Raw Data 3Y'!AE25/'Raw Data 3Y'!AD25)^(1/3)-1)*100,"")</f>
        <v/>
      </c>
      <c r="S35" s="3">
        <f>IFERROR((('Raw Data 3Y'!AG25/'Raw Data 3Y'!AF25)^(1/3)-1)*100,"")</f>
        <v/>
      </c>
      <c r="T35" s="3">
        <f>IFERROR((('Raw Data 3Y'!AI25/'Raw Data 3Y'!AH25)^(1/3)-1)*100,"")</f>
        <v/>
      </c>
      <c r="U35" s="3">
        <f>IFERROR((('Raw Data 3Y'!AK25/'Raw Data 3Y'!AJ25)^(1/3)-1)*100,"")</f>
        <v/>
      </c>
      <c r="V35" s="3">
        <f>IFERROR((('Raw Data 3Y'!AM25/'Raw Data 3Y'!AL25)^(1/3)-1)*100,"")</f>
        <v/>
      </c>
      <c r="W35" s="3">
        <f>IFERROR((('Raw Data 3Y'!AO25/'Raw Data 3Y'!AN25)^(1/3)-1)*100,"")</f>
        <v/>
      </c>
      <c r="X35" s="3">
        <f>IF(AND(ISNUMBER(F35),COUNT(F$2:F$46)&gt;=4),IF(F35&gt;=QUARTILE(F$2:F$46,3),1,0),0)+IF(AND(ISNUMBER(G35),COUNT(G$2:G$46)&gt;=4),IF(G35&gt;=QUARTILE(G$2:G$46,3),1,0),0)+IF(AND(ISNUMBER(H35),COUNT(H$2:H$46)&gt;=4),IF(H35&gt;=QUARTILE(H$2:H$46,3),1,0),0)+IF(AND(ISNUMBER(I35),COUNT(I$2:I$46)&gt;=4),IF(I35&gt;=QUARTILE(I$2:I$46,3),1,0),0)+IF(AND(ISNUMBER(J35),COUNT(J$2:J$46)&gt;=4),IF(J35&gt;=QUARTILE(J$2:J$46,3),1,0),0)+IF(AND(ISNUMBER(K35),COUNT(K$2:K$46)&gt;=4),IF(K35&gt;=QUARTILE(K$2:K$46,3),1,0),0)+IF(AND(ISNUMBER(L35),COUNT(L$2:L$46)&gt;=4),IF(L35&gt;=QUARTILE(L$2:L$46,3),1,0),0)+IF(AND(ISNUMBER(M35),COUNT(M$2:M$46)&gt;=4),IF(M35&gt;=QUARTILE(M$2:M$46,3),1,0),0)+IF(AND(ISNUMBER(N35),COUNT(N$2:N$46)&gt;=4),IF(N35&gt;=QUARTILE(N$2:N$46,3),1,0),0)+IF(AND(ISNUMBER(O35),COUNT(O$2:O$46)&gt;=4),IF(O35&gt;=QUARTILE(O$2:O$46,3),1,0),0)+IF(AND(ISNUMBER(P35),COUNT(P$2:P$46)&gt;=4),IF(P35&gt;=QUARTILE(P$2:P$46,3),1,0),0)+IF(AND(ISNUMBER(Q35),COUNT(Q$2:Q$46)&gt;=4),IF(Q35&gt;=QUARTILE(Q$2:Q$46,3),1,0),0)+IF(AND(ISNUMBER(R35),COUNT(R$2:R$46)&gt;=4),IF(R35&gt;=QUARTILE(R$2:R$46,3),1,0),0)+IF(AND(ISNUMBER(S35),COUNT(S$2:S$46)&gt;=4),IF(S35&gt;=QUARTILE(S$2:S$46,3),1,0),0)+IF(AND(ISNUMBER(T35),COUNT(T$2:T$46)&gt;=4),IF(T35&gt;=QUARTILE(T$2:T$46,3),1,0),0)+IF(AND(ISNUMBER(U35),COUNT(U$2:U$46)&gt;=4),IF(U35&gt;=QUARTILE(U$2:U$46,3),1,0),0)+IF(AND(ISNUMBER(V35),COUNT(V$2:V$46)&gt;=4),IF(V35&gt;=QUARTILE(V$2:V$46,3),1,0),0)+IF(AND(ISNUMBER(W35),COUNT(W$2:W$46)&gt;=4),IF(W35&gt;=QUARTILE(W$2:W$46,3),1,0),0)</f>
        <v/>
      </c>
      <c r="Y35" s="3">
        <f>IF(AND(ISNUMBER(F35),COUNT(F$2:F$46)&gt;=4),IF(F35&lt;=QUARTILE(F$2:F$46,1),1,0),0)+IF(AND(ISNUMBER(G35),COUNT(G$2:G$46)&gt;=4),IF(G35&lt;=QUARTILE(G$2:G$46,1),1,0),0)+IF(AND(ISNUMBER(H35),COUNT(H$2:H$46)&gt;=4),IF(H35&lt;=QUARTILE(H$2:H$46,1),1,0),0)+IF(AND(ISNUMBER(I35),COUNT(I$2:I$46)&gt;=4),IF(I35&lt;=QUARTILE(I$2:I$46,1),1,0),0)+IF(AND(ISNUMBER(J35),COUNT(J$2:J$46)&gt;=4),IF(J35&lt;=QUARTILE(J$2:J$46,1),1,0),0)+IF(AND(ISNUMBER(K35),COUNT(K$2:K$46)&gt;=4),IF(K35&lt;=QUARTILE(K$2:K$46,1),1,0),0)+IF(AND(ISNUMBER(L35),COUNT(L$2:L$46)&gt;=4),IF(L35&lt;=QUARTILE(L$2:L$46,1),1,0),0)+IF(AND(ISNUMBER(M35),COUNT(M$2:M$46)&gt;=4),IF(M35&lt;=QUARTILE(M$2:M$46,1),1,0),0)+IF(AND(ISNUMBER(N35),COUNT(N$2:N$46)&gt;=4),IF(N35&lt;=QUARTILE(N$2:N$46,1),1,0),0)+IF(AND(ISNUMBER(O35),COUNT(O$2:O$46)&gt;=4),IF(O35&lt;=QUARTILE(O$2:O$46,1),1,0),0)+IF(AND(ISNUMBER(P35),COUNT(P$2:P$46)&gt;=4),IF(P35&lt;=QUARTILE(P$2:P$46,1),1,0),0)+IF(AND(ISNUMBER(Q35),COUNT(Q$2:Q$46)&gt;=4),IF(Q35&lt;=QUARTILE(Q$2:Q$46,1),1,0),0)+IF(AND(ISNUMBER(R35),COUNT(R$2:R$46)&gt;=4),IF(R35&lt;=QUARTILE(R$2:R$46,1),1,0),0)+IF(AND(ISNUMBER(S35),COUNT(S$2:S$46)&gt;=4),IF(S35&lt;=QUARTILE(S$2:S$46,1),1,0),0)+IF(AND(ISNUMBER(T35),COUNT(T$2:T$46)&gt;=4),IF(T35&lt;=QUARTILE(T$2:T$46,1),1,0),0)+IF(AND(ISNUMBER(U35),COUNT(U$2:U$46)&gt;=4),IF(U35&lt;=QUARTILE(U$2:U$46,1),1,0),0)+IF(AND(ISNUMBER(V35),COUNT(V$2:V$46)&gt;=4),IF(V35&lt;=QUARTILE(V$2:V$46,1),1,0),0)+IF(AND(ISNUMBER(W35),COUNT(W$2:W$46)&gt;=4),IF(W35&lt;=QUARTILE(W$2:W$46,1),1,0),0)</f>
        <v/>
      </c>
      <c r="Z35" s="3">
        <f>IF(Y35=0,X35,ROUND(X35/Y35,2))</f>
        <v/>
      </c>
      <c r="AA35" s="3">
        <f>IFERROR(IF(VLOOKUP(A35,'Raw Data 3Y'!A:AP,42,FALSE)="","none",VLOOKUP(A35,'Raw Data 3Y'!A:AP,42,FALSE)),"none")</f>
        <v/>
      </c>
      <c r="AB35" s="4" t="inlineStr">
        <is>
          <t>Source</t>
        </is>
      </c>
    </row>
    <row r="36">
      <c r="A36">
        <f>'Raw Data 3Y'!A2</f>
        <v/>
      </c>
      <c r="B36" s="3">
        <f>IFERROR((('Raw Data 3Y'!C2/'Raw Data 3Y'!B2)^(1/'Raw Data 3Y'!D2)-1)*100,"")</f>
        <v/>
      </c>
      <c r="C36" s="3">
        <f>'Raw Data 3Y'!E2</f>
        <v/>
      </c>
      <c r="D36" s="3">
        <f>INT('Raw Data 3Y'!D2)</f>
        <v/>
      </c>
      <c r="E36" s="3">
        <f>IFERROR(AVERAGE(F36:W36),"")</f>
        <v/>
      </c>
      <c r="F36" s="3">
        <f>IFERROR((('Raw Data 3Y'!G2/'Raw Data 3Y'!F2)^(1/3)-1)*100,"")</f>
        <v/>
      </c>
      <c r="G36" s="3">
        <f>IFERROR((('Raw Data 3Y'!I2/'Raw Data 3Y'!H2)^(1/3)-1)*100,"")</f>
        <v/>
      </c>
      <c r="H36" s="3">
        <f>IFERROR((('Raw Data 3Y'!K2/'Raw Data 3Y'!J2)^(1/3)-1)*100,"")</f>
        <v/>
      </c>
      <c r="I36" s="3">
        <f>IFERROR((('Raw Data 3Y'!M2/'Raw Data 3Y'!L2)^(1/3)-1)*100,"")</f>
        <v/>
      </c>
      <c r="J36" s="3">
        <f>IFERROR((('Raw Data 3Y'!O2/'Raw Data 3Y'!N2)^(1/3)-1)*100,"")</f>
        <v/>
      </c>
      <c r="K36" s="3">
        <f>IFERROR((('Raw Data 3Y'!Q2/'Raw Data 3Y'!P2)^(1/3)-1)*100,"")</f>
        <v/>
      </c>
      <c r="L36" s="3">
        <f>IFERROR((('Raw Data 3Y'!S2/'Raw Data 3Y'!R2)^(1/3)-1)*100,"")</f>
        <v/>
      </c>
      <c r="M36" s="3">
        <f>IFERROR((('Raw Data 3Y'!U2/'Raw Data 3Y'!T2)^(1/3)-1)*100,"")</f>
        <v/>
      </c>
      <c r="N36" s="3">
        <f>IFERROR((('Raw Data 3Y'!W2/'Raw Data 3Y'!V2)^(1/3)-1)*100,"")</f>
        <v/>
      </c>
      <c r="O36" s="3">
        <f>IFERROR((('Raw Data 3Y'!Y2/'Raw Data 3Y'!X2)^(1/3)-1)*100,"")</f>
        <v/>
      </c>
      <c r="P36" s="3">
        <f>IFERROR((('Raw Data 3Y'!AA2/'Raw Data 3Y'!Z2)^(1/3)-1)*100,"")</f>
        <v/>
      </c>
      <c r="Q36" s="3">
        <f>IFERROR((('Raw Data 3Y'!AC2/'Raw Data 3Y'!AB2)^(1/3)-1)*100,"")</f>
        <v/>
      </c>
      <c r="R36" s="3">
        <f>IFERROR((('Raw Data 3Y'!AE2/'Raw Data 3Y'!AD2)^(1/3)-1)*100,"")</f>
        <v/>
      </c>
      <c r="S36" s="3">
        <f>IFERROR((('Raw Data 3Y'!AG2/'Raw Data 3Y'!AF2)^(1/3)-1)*100,"")</f>
        <v/>
      </c>
      <c r="T36" s="3">
        <f>IFERROR((('Raw Data 3Y'!AI2/'Raw Data 3Y'!AH2)^(1/3)-1)*100,"")</f>
        <v/>
      </c>
      <c r="U36" s="3">
        <f>IFERROR((('Raw Data 3Y'!AK2/'Raw Data 3Y'!AJ2)^(1/3)-1)*100,"")</f>
        <v/>
      </c>
      <c r="V36" s="3">
        <f>IFERROR((('Raw Data 3Y'!AM2/'Raw Data 3Y'!AL2)^(1/3)-1)*100,"")</f>
        <v/>
      </c>
      <c r="W36" s="3">
        <f>IFERROR((('Raw Data 3Y'!AO2/'Raw Data 3Y'!AN2)^(1/3)-1)*100,"")</f>
        <v/>
      </c>
      <c r="X36" s="3">
        <f>IF(AND(ISNUMBER(F36),COUNT(F$2:F$46)&gt;=4),IF(F36&gt;=QUARTILE(F$2:F$46,3),1,0),0)+IF(AND(ISNUMBER(G36),COUNT(G$2:G$46)&gt;=4),IF(G36&gt;=QUARTILE(G$2:G$46,3),1,0),0)+IF(AND(ISNUMBER(H36),COUNT(H$2:H$46)&gt;=4),IF(H36&gt;=QUARTILE(H$2:H$46,3),1,0),0)+IF(AND(ISNUMBER(I36),COUNT(I$2:I$46)&gt;=4),IF(I36&gt;=QUARTILE(I$2:I$46,3),1,0),0)+IF(AND(ISNUMBER(J36),COUNT(J$2:J$46)&gt;=4),IF(J36&gt;=QUARTILE(J$2:J$46,3),1,0),0)+IF(AND(ISNUMBER(K36),COUNT(K$2:K$46)&gt;=4),IF(K36&gt;=QUARTILE(K$2:K$46,3),1,0),0)+IF(AND(ISNUMBER(L36),COUNT(L$2:L$46)&gt;=4),IF(L36&gt;=QUARTILE(L$2:L$46,3),1,0),0)+IF(AND(ISNUMBER(M36),COUNT(M$2:M$46)&gt;=4),IF(M36&gt;=QUARTILE(M$2:M$46,3),1,0),0)+IF(AND(ISNUMBER(N36),COUNT(N$2:N$46)&gt;=4),IF(N36&gt;=QUARTILE(N$2:N$46,3),1,0),0)+IF(AND(ISNUMBER(O36),COUNT(O$2:O$46)&gt;=4),IF(O36&gt;=QUARTILE(O$2:O$46,3),1,0),0)+IF(AND(ISNUMBER(P36),COUNT(P$2:P$46)&gt;=4),IF(P36&gt;=QUARTILE(P$2:P$46,3),1,0),0)+IF(AND(ISNUMBER(Q36),COUNT(Q$2:Q$46)&gt;=4),IF(Q36&gt;=QUARTILE(Q$2:Q$46,3),1,0),0)+IF(AND(ISNUMBER(R36),COUNT(R$2:R$46)&gt;=4),IF(R36&gt;=QUARTILE(R$2:R$46,3),1,0),0)+IF(AND(ISNUMBER(S36),COUNT(S$2:S$46)&gt;=4),IF(S36&gt;=QUARTILE(S$2:S$46,3),1,0),0)+IF(AND(ISNUMBER(T36),COUNT(T$2:T$46)&gt;=4),IF(T36&gt;=QUARTILE(T$2:T$46,3),1,0),0)+IF(AND(ISNUMBER(U36),COUNT(U$2:U$46)&gt;=4),IF(U36&gt;=QUARTILE(U$2:U$46,3),1,0),0)+IF(AND(ISNUMBER(V36),COUNT(V$2:V$46)&gt;=4),IF(V36&gt;=QUARTILE(V$2:V$46,3),1,0),0)+IF(AND(ISNUMBER(W36),COUNT(W$2:W$46)&gt;=4),IF(W36&gt;=QUARTILE(W$2:W$46,3),1,0),0)</f>
        <v/>
      </c>
      <c r="Y36" s="3">
        <f>IF(AND(ISNUMBER(F36),COUNT(F$2:F$46)&gt;=4),IF(F36&lt;=QUARTILE(F$2:F$46,1),1,0),0)+IF(AND(ISNUMBER(G36),COUNT(G$2:G$46)&gt;=4),IF(G36&lt;=QUARTILE(G$2:G$46,1),1,0),0)+IF(AND(ISNUMBER(H36),COUNT(H$2:H$46)&gt;=4),IF(H36&lt;=QUARTILE(H$2:H$46,1),1,0),0)+IF(AND(ISNUMBER(I36),COUNT(I$2:I$46)&gt;=4),IF(I36&lt;=QUARTILE(I$2:I$46,1),1,0),0)+IF(AND(ISNUMBER(J36),COUNT(J$2:J$46)&gt;=4),IF(J36&lt;=QUARTILE(J$2:J$46,1),1,0),0)+IF(AND(ISNUMBER(K36),COUNT(K$2:K$46)&gt;=4),IF(K36&lt;=QUARTILE(K$2:K$46,1),1,0),0)+IF(AND(ISNUMBER(L36),COUNT(L$2:L$46)&gt;=4),IF(L36&lt;=QUARTILE(L$2:L$46,1),1,0),0)+IF(AND(ISNUMBER(M36),COUNT(M$2:M$46)&gt;=4),IF(M36&lt;=QUARTILE(M$2:M$46,1),1,0),0)+IF(AND(ISNUMBER(N36),COUNT(N$2:N$46)&gt;=4),IF(N36&lt;=QUARTILE(N$2:N$46,1),1,0),0)+IF(AND(ISNUMBER(O36),COUNT(O$2:O$46)&gt;=4),IF(O36&lt;=QUARTILE(O$2:O$46,1),1,0),0)+IF(AND(ISNUMBER(P36),COUNT(P$2:P$46)&gt;=4),IF(P36&lt;=QUARTILE(P$2:P$46,1),1,0),0)+IF(AND(ISNUMBER(Q36),COUNT(Q$2:Q$46)&gt;=4),IF(Q36&lt;=QUARTILE(Q$2:Q$46,1),1,0),0)+IF(AND(ISNUMBER(R36),COUNT(R$2:R$46)&gt;=4),IF(R36&lt;=QUARTILE(R$2:R$46,1),1,0),0)+IF(AND(ISNUMBER(S36),COUNT(S$2:S$46)&gt;=4),IF(S36&lt;=QUARTILE(S$2:S$46,1),1,0),0)+IF(AND(ISNUMBER(T36),COUNT(T$2:T$46)&gt;=4),IF(T36&lt;=QUARTILE(T$2:T$46,1),1,0),0)+IF(AND(ISNUMBER(U36),COUNT(U$2:U$46)&gt;=4),IF(U36&lt;=QUARTILE(U$2:U$46,1),1,0),0)+IF(AND(ISNUMBER(V36),COUNT(V$2:V$46)&gt;=4),IF(V36&lt;=QUARTILE(V$2:V$46,1),1,0),0)+IF(AND(ISNUMBER(W36),COUNT(W$2:W$46)&gt;=4),IF(W36&lt;=QUARTILE(W$2:W$46,1),1,0),0)</f>
        <v/>
      </c>
      <c r="Z36" s="3">
        <f>IF(Y36=0,X36,ROUND(X36/Y36,2))</f>
        <v/>
      </c>
      <c r="AA36" s="3">
        <f>IFERROR(IF(VLOOKUP(A36,'Raw Data 3Y'!A:AP,42,FALSE)="","none",VLOOKUP(A36,'Raw Data 3Y'!A:AP,42,FALSE)),"none")</f>
        <v/>
      </c>
      <c r="AB36" s="4" t="inlineStr">
        <is>
          <t>Source</t>
        </is>
      </c>
    </row>
    <row r="37">
      <c r="A37">
        <f>'Raw Data 3Y'!A6</f>
        <v/>
      </c>
      <c r="B37" s="3">
        <f>IFERROR((('Raw Data 3Y'!C6/'Raw Data 3Y'!B6)^(1/'Raw Data 3Y'!D6)-1)*100,"")</f>
        <v/>
      </c>
      <c r="C37" s="3">
        <f>'Raw Data 3Y'!E6</f>
        <v/>
      </c>
      <c r="D37" s="3">
        <f>INT('Raw Data 3Y'!D6)</f>
        <v/>
      </c>
      <c r="E37" s="3">
        <f>IFERROR(AVERAGE(F37:W37),"")</f>
        <v/>
      </c>
      <c r="F37" s="3">
        <f>IFERROR((('Raw Data 3Y'!G6/'Raw Data 3Y'!F6)^(1/3)-1)*100,"")</f>
        <v/>
      </c>
      <c r="G37" s="3">
        <f>IFERROR((('Raw Data 3Y'!I6/'Raw Data 3Y'!H6)^(1/3)-1)*100,"")</f>
        <v/>
      </c>
      <c r="H37" s="3">
        <f>IFERROR((('Raw Data 3Y'!K6/'Raw Data 3Y'!J6)^(1/3)-1)*100,"")</f>
        <v/>
      </c>
      <c r="I37" s="3">
        <f>IFERROR((('Raw Data 3Y'!M6/'Raw Data 3Y'!L6)^(1/3)-1)*100,"")</f>
        <v/>
      </c>
      <c r="J37" s="3">
        <f>IFERROR((('Raw Data 3Y'!O6/'Raw Data 3Y'!N6)^(1/3)-1)*100,"")</f>
        <v/>
      </c>
      <c r="K37" s="3">
        <f>IFERROR((('Raw Data 3Y'!Q6/'Raw Data 3Y'!P6)^(1/3)-1)*100,"")</f>
        <v/>
      </c>
      <c r="L37" s="3">
        <f>IFERROR((('Raw Data 3Y'!S6/'Raw Data 3Y'!R6)^(1/3)-1)*100,"")</f>
        <v/>
      </c>
      <c r="M37" s="3">
        <f>IFERROR((('Raw Data 3Y'!U6/'Raw Data 3Y'!T6)^(1/3)-1)*100,"")</f>
        <v/>
      </c>
      <c r="N37" s="3">
        <f>IFERROR((('Raw Data 3Y'!W6/'Raw Data 3Y'!V6)^(1/3)-1)*100,"")</f>
        <v/>
      </c>
      <c r="O37" s="3">
        <f>IFERROR((('Raw Data 3Y'!Y6/'Raw Data 3Y'!X6)^(1/3)-1)*100,"")</f>
        <v/>
      </c>
      <c r="P37" s="3">
        <f>IFERROR((('Raw Data 3Y'!AA6/'Raw Data 3Y'!Z6)^(1/3)-1)*100,"")</f>
        <v/>
      </c>
      <c r="Q37" s="3">
        <f>IFERROR((('Raw Data 3Y'!AC6/'Raw Data 3Y'!AB6)^(1/3)-1)*100,"")</f>
        <v/>
      </c>
      <c r="R37" s="3">
        <f>IFERROR((('Raw Data 3Y'!AE6/'Raw Data 3Y'!AD6)^(1/3)-1)*100,"")</f>
        <v/>
      </c>
      <c r="S37" s="3">
        <f>IFERROR((('Raw Data 3Y'!AG6/'Raw Data 3Y'!AF6)^(1/3)-1)*100,"")</f>
        <v/>
      </c>
      <c r="T37" s="3">
        <f>IFERROR((('Raw Data 3Y'!AI6/'Raw Data 3Y'!AH6)^(1/3)-1)*100,"")</f>
        <v/>
      </c>
      <c r="U37" s="3">
        <f>IFERROR((('Raw Data 3Y'!AK6/'Raw Data 3Y'!AJ6)^(1/3)-1)*100,"")</f>
        <v/>
      </c>
      <c r="V37" s="3">
        <f>IFERROR((('Raw Data 3Y'!AM6/'Raw Data 3Y'!AL6)^(1/3)-1)*100,"")</f>
        <v/>
      </c>
      <c r="W37" s="3">
        <f>IFERROR((('Raw Data 3Y'!AO6/'Raw Data 3Y'!AN6)^(1/3)-1)*100,"")</f>
        <v/>
      </c>
      <c r="X37" s="3">
        <f>IF(AND(ISNUMBER(F37),COUNT(F$2:F$46)&gt;=4),IF(F37&gt;=QUARTILE(F$2:F$46,3),1,0),0)+IF(AND(ISNUMBER(G37),COUNT(G$2:G$46)&gt;=4),IF(G37&gt;=QUARTILE(G$2:G$46,3),1,0),0)+IF(AND(ISNUMBER(H37),COUNT(H$2:H$46)&gt;=4),IF(H37&gt;=QUARTILE(H$2:H$46,3),1,0),0)+IF(AND(ISNUMBER(I37),COUNT(I$2:I$46)&gt;=4),IF(I37&gt;=QUARTILE(I$2:I$46,3),1,0),0)+IF(AND(ISNUMBER(J37),COUNT(J$2:J$46)&gt;=4),IF(J37&gt;=QUARTILE(J$2:J$46,3),1,0),0)+IF(AND(ISNUMBER(K37),COUNT(K$2:K$46)&gt;=4),IF(K37&gt;=QUARTILE(K$2:K$46,3),1,0),0)+IF(AND(ISNUMBER(L37),COUNT(L$2:L$46)&gt;=4),IF(L37&gt;=QUARTILE(L$2:L$46,3),1,0),0)+IF(AND(ISNUMBER(M37),COUNT(M$2:M$46)&gt;=4),IF(M37&gt;=QUARTILE(M$2:M$46,3),1,0),0)+IF(AND(ISNUMBER(N37),COUNT(N$2:N$46)&gt;=4),IF(N37&gt;=QUARTILE(N$2:N$46,3),1,0),0)+IF(AND(ISNUMBER(O37),COUNT(O$2:O$46)&gt;=4),IF(O37&gt;=QUARTILE(O$2:O$46,3),1,0),0)+IF(AND(ISNUMBER(P37),COUNT(P$2:P$46)&gt;=4),IF(P37&gt;=QUARTILE(P$2:P$46,3),1,0),0)+IF(AND(ISNUMBER(Q37),COUNT(Q$2:Q$46)&gt;=4),IF(Q37&gt;=QUARTILE(Q$2:Q$46,3),1,0),0)+IF(AND(ISNUMBER(R37),COUNT(R$2:R$46)&gt;=4),IF(R37&gt;=QUARTILE(R$2:R$46,3),1,0),0)+IF(AND(ISNUMBER(S37),COUNT(S$2:S$46)&gt;=4),IF(S37&gt;=QUARTILE(S$2:S$46,3),1,0),0)+IF(AND(ISNUMBER(T37),COUNT(T$2:T$46)&gt;=4),IF(T37&gt;=QUARTILE(T$2:T$46,3),1,0),0)+IF(AND(ISNUMBER(U37),COUNT(U$2:U$46)&gt;=4),IF(U37&gt;=QUARTILE(U$2:U$46,3),1,0),0)+IF(AND(ISNUMBER(V37),COUNT(V$2:V$46)&gt;=4),IF(V37&gt;=QUARTILE(V$2:V$46,3),1,0),0)+IF(AND(ISNUMBER(W37),COUNT(W$2:W$46)&gt;=4),IF(W37&gt;=QUARTILE(W$2:W$46,3),1,0),0)</f>
        <v/>
      </c>
      <c r="Y37" s="3">
        <f>IF(AND(ISNUMBER(F37),COUNT(F$2:F$46)&gt;=4),IF(F37&lt;=QUARTILE(F$2:F$46,1),1,0),0)+IF(AND(ISNUMBER(G37),COUNT(G$2:G$46)&gt;=4),IF(G37&lt;=QUARTILE(G$2:G$46,1),1,0),0)+IF(AND(ISNUMBER(H37),COUNT(H$2:H$46)&gt;=4),IF(H37&lt;=QUARTILE(H$2:H$46,1),1,0),0)+IF(AND(ISNUMBER(I37),COUNT(I$2:I$46)&gt;=4),IF(I37&lt;=QUARTILE(I$2:I$46,1),1,0),0)+IF(AND(ISNUMBER(J37),COUNT(J$2:J$46)&gt;=4),IF(J37&lt;=QUARTILE(J$2:J$46,1),1,0),0)+IF(AND(ISNUMBER(K37),COUNT(K$2:K$46)&gt;=4),IF(K37&lt;=QUARTILE(K$2:K$46,1),1,0),0)+IF(AND(ISNUMBER(L37),COUNT(L$2:L$46)&gt;=4),IF(L37&lt;=QUARTILE(L$2:L$46,1),1,0),0)+IF(AND(ISNUMBER(M37),COUNT(M$2:M$46)&gt;=4),IF(M37&lt;=QUARTILE(M$2:M$46,1),1,0),0)+IF(AND(ISNUMBER(N37),COUNT(N$2:N$46)&gt;=4),IF(N37&lt;=QUARTILE(N$2:N$46,1),1,0),0)+IF(AND(ISNUMBER(O37),COUNT(O$2:O$46)&gt;=4),IF(O37&lt;=QUARTILE(O$2:O$46,1),1,0),0)+IF(AND(ISNUMBER(P37),COUNT(P$2:P$46)&gt;=4),IF(P37&lt;=QUARTILE(P$2:P$46,1),1,0),0)+IF(AND(ISNUMBER(Q37),COUNT(Q$2:Q$46)&gt;=4),IF(Q37&lt;=QUARTILE(Q$2:Q$46,1),1,0),0)+IF(AND(ISNUMBER(R37),COUNT(R$2:R$46)&gt;=4),IF(R37&lt;=QUARTILE(R$2:R$46,1),1,0),0)+IF(AND(ISNUMBER(S37),COUNT(S$2:S$46)&gt;=4),IF(S37&lt;=QUARTILE(S$2:S$46,1),1,0),0)+IF(AND(ISNUMBER(T37),COUNT(T$2:T$46)&gt;=4),IF(T37&lt;=QUARTILE(T$2:T$46,1),1,0),0)+IF(AND(ISNUMBER(U37),COUNT(U$2:U$46)&gt;=4),IF(U37&lt;=QUARTILE(U$2:U$46,1),1,0),0)+IF(AND(ISNUMBER(V37),COUNT(V$2:V$46)&gt;=4),IF(V37&lt;=QUARTILE(V$2:V$46,1),1,0),0)+IF(AND(ISNUMBER(W37),COUNT(W$2:W$46)&gt;=4),IF(W37&lt;=QUARTILE(W$2:W$46,1),1,0),0)</f>
        <v/>
      </c>
      <c r="Z37" s="3">
        <f>IF(Y37=0,X37,ROUND(X37/Y37,2))</f>
        <v/>
      </c>
      <c r="AA37" s="3">
        <f>IFERROR(IF(VLOOKUP(A37,'Raw Data 3Y'!A:AP,42,FALSE)="","none",VLOOKUP(A37,'Raw Data 3Y'!A:AP,42,FALSE)),"none")</f>
        <v/>
      </c>
      <c r="AB37" s="4" t="inlineStr">
        <is>
          <t>Source</t>
        </is>
      </c>
    </row>
    <row r="38">
      <c r="A38">
        <f>'Raw Data 3Y'!A4</f>
        <v/>
      </c>
      <c r="B38" s="3">
        <f>IFERROR((('Raw Data 3Y'!C4/'Raw Data 3Y'!B4)^(1/'Raw Data 3Y'!D4)-1)*100,"")</f>
        <v/>
      </c>
      <c r="C38" s="3">
        <f>'Raw Data 3Y'!E4</f>
        <v/>
      </c>
      <c r="D38" s="3">
        <f>INT('Raw Data 3Y'!D4)</f>
        <v/>
      </c>
      <c r="E38" s="3">
        <f>IFERROR(AVERAGE(F38:W38),"")</f>
        <v/>
      </c>
      <c r="F38" s="3">
        <f>IFERROR((('Raw Data 3Y'!G4/'Raw Data 3Y'!F4)^(1/3)-1)*100,"")</f>
        <v/>
      </c>
      <c r="G38" s="3">
        <f>IFERROR((('Raw Data 3Y'!I4/'Raw Data 3Y'!H4)^(1/3)-1)*100,"")</f>
        <v/>
      </c>
      <c r="H38" s="3">
        <f>IFERROR((('Raw Data 3Y'!K4/'Raw Data 3Y'!J4)^(1/3)-1)*100,"")</f>
        <v/>
      </c>
      <c r="I38" s="3">
        <f>IFERROR((('Raw Data 3Y'!M4/'Raw Data 3Y'!L4)^(1/3)-1)*100,"")</f>
        <v/>
      </c>
      <c r="J38" s="3">
        <f>IFERROR((('Raw Data 3Y'!O4/'Raw Data 3Y'!N4)^(1/3)-1)*100,"")</f>
        <v/>
      </c>
      <c r="K38" s="3">
        <f>IFERROR((('Raw Data 3Y'!Q4/'Raw Data 3Y'!P4)^(1/3)-1)*100,"")</f>
        <v/>
      </c>
      <c r="L38" s="3">
        <f>IFERROR((('Raw Data 3Y'!S4/'Raw Data 3Y'!R4)^(1/3)-1)*100,"")</f>
        <v/>
      </c>
      <c r="M38" s="3">
        <f>IFERROR((('Raw Data 3Y'!U4/'Raw Data 3Y'!T4)^(1/3)-1)*100,"")</f>
        <v/>
      </c>
      <c r="N38" s="3">
        <f>IFERROR((('Raw Data 3Y'!W4/'Raw Data 3Y'!V4)^(1/3)-1)*100,"")</f>
        <v/>
      </c>
      <c r="O38" s="3">
        <f>IFERROR((('Raw Data 3Y'!Y4/'Raw Data 3Y'!X4)^(1/3)-1)*100,"")</f>
        <v/>
      </c>
      <c r="P38" s="3">
        <f>IFERROR((('Raw Data 3Y'!AA4/'Raw Data 3Y'!Z4)^(1/3)-1)*100,"")</f>
        <v/>
      </c>
      <c r="Q38" s="3">
        <f>IFERROR((('Raw Data 3Y'!AC4/'Raw Data 3Y'!AB4)^(1/3)-1)*100,"")</f>
        <v/>
      </c>
      <c r="R38" s="3">
        <f>IFERROR((('Raw Data 3Y'!AE4/'Raw Data 3Y'!AD4)^(1/3)-1)*100,"")</f>
        <v/>
      </c>
      <c r="S38" s="3">
        <f>IFERROR((('Raw Data 3Y'!AG4/'Raw Data 3Y'!AF4)^(1/3)-1)*100,"")</f>
        <v/>
      </c>
      <c r="T38" s="3">
        <f>IFERROR((('Raw Data 3Y'!AI4/'Raw Data 3Y'!AH4)^(1/3)-1)*100,"")</f>
        <v/>
      </c>
      <c r="U38" s="3">
        <f>IFERROR((('Raw Data 3Y'!AK4/'Raw Data 3Y'!AJ4)^(1/3)-1)*100,"")</f>
        <v/>
      </c>
      <c r="V38" s="3">
        <f>IFERROR((('Raw Data 3Y'!AM4/'Raw Data 3Y'!AL4)^(1/3)-1)*100,"")</f>
        <v/>
      </c>
      <c r="W38" s="3">
        <f>IFERROR((('Raw Data 3Y'!AO4/'Raw Data 3Y'!AN4)^(1/3)-1)*100,"")</f>
        <v/>
      </c>
      <c r="X38" s="3">
        <f>IF(AND(ISNUMBER(F38),COUNT(F$2:F$46)&gt;=4),IF(F38&gt;=QUARTILE(F$2:F$46,3),1,0),0)+IF(AND(ISNUMBER(G38),COUNT(G$2:G$46)&gt;=4),IF(G38&gt;=QUARTILE(G$2:G$46,3),1,0),0)+IF(AND(ISNUMBER(H38),COUNT(H$2:H$46)&gt;=4),IF(H38&gt;=QUARTILE(H$2:H$46,3),1,0),0)+IF(AND(ISNUMBER(I38),COUNT(I$2:I$46)&gt;=4),IF(I38&gt;=QUARTILE(I$2:I$46,3),1,0),0)+IF(AND(ISNUMBER(J38),COUNT(J$2:J$46)&gt;=4),IF(J38&gt;=QUARTILE(J$2:J$46,3),1,0),0)+IF(AND(ISNUMBER(K38),COUNT(K$2:K$46)&gt;=4),IF(K38&gt;=QUARTILE(K$2:K$46,3),1,0),0)+IF(AND(ISNUMBER(L38),COUNT(L$2:L$46)&gt;=4),IF(L38&gt;=QUARTILE(L$2:L$46,3),1,0),0)+IF(AND(ISNUMBER(M38),COUNT(M$2:M$46)&gt;=4),IF(M38&gt;=QUARTILE(M$2:M$46,3),1,0),0)+IF(AND(ISNUMBER(N38),COUNT(N$2:N$46)&gt;=4),IF(N38&gt;=QUARTILE(N$2:N$46,3),1,0),0)+IF(AND(ISNUMBER(O38),COUNT(O$2:O$46)&gt;=4),IF(O38&gt;=QUARTILE(O$2:O$46,3),1,0),0)+IF(AND(ISNUMBER(P38),COUNT(P$2:P$46)&gt;=4),IF(P38&gt;=QUARTILE(P$2:P$46,3),1,0),0)+IF(AND(ISNUMBER(Q38),COUNT(Q$2:Q$46)&gt;=4),IF(Q38&gt;=QUARTILE(Q$2:Q$46,3),1,0),0)+IF(AND(ISNUMBER(R38),COUNT(R$2:R$46)&gt;=4),IF(R38&gt;=QUARTILE(R$2:R$46,3),1,0),0)+IF(AND(ISNUMBER(S38),COUNT(S$2:S$46)&gt;=4),IF(S38&gt;=QUARTILE(S$2:S$46,3),1,0),0)+IF(AND(ISNUMBER(T38),COUNT(T$2:T$46)&gt;=4),IF(T38&gt;=QUARTILE(T$2:T$46,3),1,0),0)+IF(AND(ISNUMBER(U38),COUNT(U$2:U$46)&gt;=4),IF(U38&gt;=QUARTILE(U$2:U$46,3),1,0),0)+IF(AND(ISNUMBER(V38),COUNT(V$2:V$46)&gt;=4),IF(V38&gt;=QUARTILE(V$2:V$46,3),1,0),0)+IF(AND(ISNUMBER(W38),COUNT(W$2:W$46)&gt;=4),IF(W38&gt;=QUARTILE(W$2:W$46,3),1,0),0)</f>
        <v/>
      </c>
      <c r="Y38" s="3">
        <f>IF(AND(ISNUMBER(F38),COUNT(F$2:F$46)&gt;=4),IF(F38&lt;=QUARTILE(F$2:F$46,1),1,0),0)+IF(AND(ISNUMBER(G38),COUNT(G$2:G$46)&gt;=4),IF(G38&lt;=QUARTILE(G$2:G$46,1),1,0),0)+IF(AND(ISNUMBER(H38),COUNT(H$2:H$46)&gt;=4),IF(H38&lt;=QUARTILE(H$2:H$46,1),1,0),0)+IF(AND(ISNUMBER(I38),COUNT(I$2:I$46)&gt;=4),IF(I38&lt;=QUARTILE(I$2:I$46,1),1,0),0)+IF(AND(ISNUMBER(J38),COUNT(J$2:J$46)&gt;=4),IF(J38&lt;=QUARTILE(J$2:J$46,1),1,0),0)+IF(AND(ISNUMBER(K38),COUNT(K$2:K$46)&gt;=4),IF(K38&lt;=QUARTILE(K$2:K$46,1),1,0),0)+IF(AND(ISNUMBER(L38),COUNT(L$2:L$46)&gt;=4),IF(L38&lt;=QUARTILE(L$2:L$46,1),1,0),0)+IF(AND(ISNUMBER(M38),COUNT(M$2:M$46)&gt;=4),IF(M38&lt;=QUARTILE(M$2:M$46,1),1,0),0)+IF(AND(ISNUMBER(N38),COUNT(N$2:N$46)&gt;=4),IF(N38&lt;=QUARTILE(N$2:N$46,1),1,0),0)+IF(AND(ISNUMBER(O38),COUNT(O$2:O$46)&gt;=4),IF(O38&lt;=QUARTILE(O$2:O$46,1),1,0),0)+IF(AND(ISNUMBER(P38),COUNT(P$2:P$46)&gt;=4),IF(P38&lt;=QUARTILE(P$2:P$46,1),1,0),0)+IF(AND(ISNUMBER(Q38),COUNT(Q$2:Q$46)&gt;=4),IF(Q38&lt;=QUARTILE(Q$2:Q$46,1),1,0),0)+IF(AND(ISNUMBER(R38),COUNT(R$2:R$46)&gt;=4),IF(R38&lt;=QUARTILE(R$2:R$46,1),1,0),0)+IF(AND(ISNUMBER(S38),COUNT(S$2:S$46)&gt;=4),IF(S38&lt;=QUARTILE(S$2:S$46,1),1,0),0)+IF(AND(ISNUMBER(T38),COUNT(T$2:T$46)&gt;=4),IF(T38&lt;=QUARTILE(T$2:T$46,1),1,0),0)+IF(AND(ISNUMBER(U38),COUNT(U$2:U$46)&gt;=4),IF(U38&lt;=QUARTILE(U$2:U$46,1),1,0),0)+IF(AND(ISNUMBER(V38),COUNT(V$2:V$46)&gt;=4),IF(V38&lt;=QUARTILE(V$2:V$46,1),1,0),0)+IF(AND(ISNUMBER(W38),COUNT(W$2:W$46)&gt;=4),IF(W38&lt;=QUARTILE(W$2:W$46,1),1,0),0)</f>
        <v/>
      </c>
      <c r="Z38" s="3">
        <f>IF(Y38=0,X38,ROUND(X38/Y38,2))</f>
        <v/>
      </c>
      <c r="AA38" s="3">
        <f>IFERROR(IF(VLOOKUP(A38,'Raw Data 3Y'!A:AP,42,FALSE)="","none",VLOOKUP(A38,'Raw Data 3Y'!A:AP,42,FALSE)),"none")</f>
        <v/>
      </c>
      <c r="AB38" s="4" t="inlineStr">
        <is>
          <t>Source</t>
        </is>
      </c>
    </row>
    <row r="39">
      <c r="A39">
        <f>'Raw Data 3Y'!A7</f>
        <v/>
      </c>
      <c r="B39" s="3">
        <f>IFERROR((('Raw Data 3Y'!C7/'Raw Data 3Y'!B7)^(1/'Raw Data 3Y'!D7)-1)*100,"")</f>
        <v/>
      </c>
      <c r="C39" s="3">
        <f>'Raw Data 3Y'!E7</f>
        <v/>
      </c>
      <c r="D39" s="3">
        <f>INT('Raw Data 3Y'!D7)</f>
        <v/>
      </c>
      <c r="E39" s="3">
        <f>IFERROR(AVERAGE(F39:W39),"")</f>
        <v/>
      </c>
      <c r="F39" s="3">
        <f>IFERROR((('Raw Data 3Y'!G7/'Raw Data 3Y'!F7)^(1/3)-1)*100,"")</f>
        <v/>
      </c>
      <c r="G39" s="3">
        <f>IFERROR((('Raw Data 3Y'!I7/'Raw Data 3Y'!H7)^(1/3)-1)*100,"")</f>
        <v/>
      </c>
      <c r="H39" s="3">
        <f>IFERROR((('Raw Data 3Y'!K7/'Raw Data 3Y'!J7)^(1/3)-1)*100,"")</f>
        <v/>
      </c>
      <c r="I39" s="3">
        <f>IFERROR((('Raw Data 3Y'!M7/'Raw Data 3Y'!L7)^(1/3)-1)*100,"")</f>
        <v/>
      </c>
      <c r="J39" s="3">
        <f>IFERROR((('Raw Data 3Y'!O7/'Raw Data 3Y'!N7)^(1/3)-1)*100,"")</f>
        <v/>
      </c>
      <c r="K39" s="3">
        <f>IFERROR((('Raw Data 3Y'!Q7/'Raw Data 3Y'!P7)^(1/3)-1)*100,"")</f>
        <v/>
      </c>
      <c r="L39" s="3">
        <f>IFERROR((('Raw Data 3Y'!S7/'Raw Data 3Y'!R7)^(1/3)-1)*100,"")</f>
        <v/>
      </c>
      <c r="M39" s="3">
        <f>IFERROR((('Raw Data 3Y'!U7/'Raw Data 3Y'!T7)^(1/3)-1)*100,"")</f>
        <v/>
      </c>
      <c r="N39" s="3">
        <f>IFERROR((('Raw Data 3Y'!W7/'Raw Data 3Y'!V7)^(1/3)-1)*100,"")</f>
        <v/>
      </c>
      <c r="O39" s="3">
        <f>IFERROR((('Raw Data 3Y'!Y7/'Raw Data 3Y'!X7)^(1/3)-1)*100,"")</f>
        <v/>
      </c>
      <c r="P39" s="3">
        <f>IFERROR((('Raw Data 3Y'!AA7/'Raw Data 3Y'!Z7)^(1/3)-1)*100,"")</f>
        <v/>
      </c>
      <c r="Q39" s="3">
        <f>IFERROR((('Raw Data 3Y'!AC7/'Raw Data 3Y'!AB7)^(1/3)-1)*100,"")</f>
        <v/>
      </c>
      <c r="R39" s="3">
        <f>IFERROR((('Raw Data 3Y'!AE7/'Raw Data 3Y'!AD7)^(1/3)-1)*100,"")</f>
        <v/>
      </c>
      <c r="S39" s="3">
        <f>IFERROR((('Raw Data 3Y'!AG7/'Raw Data 3Y'!AF7)^(1/3)-1)*100,"")</f>
        <v/>
      </c>
      <c r="T39" s="3">
        <f>IFERROR((('Raw Data 3Y'!AI7/'Raw Data 3Y'!AH7)^(1/3)-1)*100,"")</f>
        <v/>
      </c>
      <c r="U39" s="3">
        <f>IFERROR((('Raw Data 3Y'!AK7/'Raw Data 3Y'!AJ7)^(1/3)-1)*100,"")</f>
        <v/>
      </c>
      <c r="V39" s="3">
        <f>IFERROR((('Raw Data 3Y'!AM7/'Raw Data 3Y'!AL7)^(1/3)-1)*100,"")</f>
        <v/>
      </c>
      <c r="W39" s="3">
        <f>IFERROR((('Raw Data 3Y'!AO7/'Raw Data 3Y'!AN7)^(1/3)-1)*100,"")</f>
        <v/>
      </c>
      <c r="X39" s="3">
        <f>IF(AND(ISNUMBER(F39),COUNT(F$2:F$46)&gt;=4),IF(F39&gt;=QUARTILE(F$2:F$46,3),1,0),0)+IF(AND(ISNUMBER(G39),COUNT(G$2:G$46)&gt;=4),IF(G39&gt;=QUARTILE(G$2:G$46,3),1,0),0)+IF(AND(ISNUMBER(H39),COUNT(H$2:H$46)&gt;=4),IF(H39&gt;=QUARTILE(H$2:H$46,3),1,0),0)+IF(AND(ISNUMBER(I39),COUNT(I$2:I$46)&gt;=4),IF(I39&gt;=QUARTILE(I$2:I$46,3),1,0),0)+IF(AND(ISNUMBER(J39),COUNT(J$2:J$46)&gt;=4),IF(J39&gt;=QUARTILE(J$2:J$46,3),1,0),0)+IF(AND(ISNUMBER(K39),COUNT(K$2:K$46)&gt;=4),IF(K39&gt;=QUARTILE(K$2:K$46,3),1,0),0)+IF(AND(ISNUMBER(L39),COUNT(L$2:L$46)&gt;=4),IF(L39&gt;=QUARTILE(L$2:L$46,3),1,0),0)+IF(AND(ISNUMBER(M39),COUNT(M$2:M$46)&gt;=4),IF(M39&gt;=QUARTILE(M$2:M$46,3),1,0),0)+IF(AND(ISNUMBER(N39),COUNT(N$2:N$46)&gt;=4),IF(N39&gt;=QUARTILE(N$2:N$46,3),1,0),0)+IF(AND(ISNUMBER(O39),COUNT(O$2:O$46)&gt;=4),IF(O39&gt;=QUARTILE(O$2:O$46,3),1,0),0)+IF(AND(ISNUMBER(P39),COUNT(P$2:P$46)&gt;=4),IF(P39&gt;=QUARTILE(P$2:P$46,3),1,0),0)+IF(AND(ISNUMBER(Q39),COUNT(Q$2:Q$46)&gt;=4),IF(Q39&gt;=QUARTILE(Q$2:Q$46,3),1,0),0)+IF(AND(ISNUMBER(R39),COUNT(R$2:R$46)&gt;=4),IF(R39&gt;=QUARTILE(R$2:R$46,3),1,0),0)+IF(AND(ISNUMBER(S39),COUNT(S$2:S$46)&gt;=4),IF(S39&gt;=QUARTILE(S$2:S$46,3),1,0),0)+IF(AND(ISNUMBER(T39),COUNT(T$2:T$46)&gt;=4),IF(T39&gt;=QUARTILE(T$2:T$46,3),1,0),0)+IF(AND(ISNUMBER(U39),COUNT(U$2:U$46)&gt;=4),IF(U39&gt;=QUARTILE(U$2:U$46,3),1,0),0)+IF(AND(ISNUMBER(V39),COUNT(V$2:V$46)&gt;=4),IF(V39&gt;=QUARTILE(V$2:V$46,3),1,0),0)+IF(AND(ISNUMBER(W39),COUNT(W$2:W$46)&gt;=4),IF(W39&gt;=QUARTILE(W$2:W$46,3),1,0),0)</f>
        <v/>
      </c>
      <c r="Y39" s="3">
        <f>IF(AND(ISNUMBER(F39),COUNT(F$2:F$46)&gt;=4),IF(F39&lt;=QUARTILE(F$2:F$46,1),1,0),0)+IF(AND(ISNUMBER(G39),COUNT(G$2:G$46)&gt;=4),IF(G39&lt;=QUARTILE(G$2:G$46,1),1,0),0)+IF(AND(ISNUMBER(H39),COUNT(H$2:H$46)&gt;=4),IF(H39&lt;=QUARTILE(H$2:H$46,1),1,0),0)+IF(AND(ISNUMBER(I39),COUNT(I$2:I$46)&gt;=4),IF(I39&lt;=QUARTILE(I$2:I$46,1),1,0),0)+IF(AND(ISNUMBER(J39),COUNT(J$2:J$46)&gt;=4),IF(J39&lt;=QUARTILE(J$2:J$46,1),1,0),0)+IF(AND(ISNUMBER(K39),COUNT(K$2:K$46)&gt;=4),IF(K39&lt;=QUARTILE(K$2:K$46,1),1,0),0)+IF(AND(ISNUMBER(L39),COUNT(L$2:L$46)&gt;=4),IF(L39&lt;=QUARTILE(L$2:L$46,1),1,0),0)+IF(AND(ISNUMBER(M39),COUNT(M$2:M$46)&gt;=4),IF(M39&lt;=QUARTILE(M$2:M$46,1),1,0),0)+IF(AND(ISNUMBER(N39),COUNT(N$2:N$46)&gt;=4),IF(N39&lt;=QUARTILE(N$2:N$46,1),1,0),0)+IF(AND(ISNUMBER(O39),COUNT(O$2:O$46)&gt;=4),IF(O39&lt;=QUARTILE(O$2:O$46,1),1,0),0)+IF(AND(ISNUMBER(P39),COUNT(P$2:P$46)&gt;=4),IF(P39&lt;=QUARTILE(P$2:P$46,1),1,0),0)+IF(AND(ISNUMBER(Q39),COUNT(Q$2:Q$46)&gt;=4),IF(Q39&lt;=QUARTILE(Q$2:Q$46,1),1,0),0)+IF(AND(ISNUMBER(R39),COUNT(R$2:R$46)&gt;=4),IF(R39&lt;=QUARTILE(R$2:R$46,1),1,0),0)+IF(AND(ISNUMBER(S39),COUNT(S$2:S$46)&gt;=4),IF(S39&lt;=QUARTILE(S$2:S$46,1),1,0),0)+IF(AND(ISNUMBER(T39),COUNT(T$2:T$46)&gt;=4),IF(T39&lt;=QUARTILE(T$2:T$46,1),1,0),0)+IF(AND(ISNUMBER(U39),COUNT(U$2:U$46)&gt;=4),IF(U39&lt;=QUARTILE(U$2:U$46,1),1,0),0)+IF(AND(ISNUMBER(V39),COUNT(V$2:V$46)&gt;=4),IF(V39&lt;=QUARTILE(V$2:V$46,1),1,0),0)+IF(AND(ISNUMBER(W39),COUNT(W$2:W$46)&gt;=4),IF(W39&lt;=QUARTILE(W$2:W$46,1),1,0),0)</f>
        <v/>
      </c>
      <c r="Z39" s="3">
        <f>IF(Y39=0,X39,ROUND(X39/Y39,2))</f>
        <v/>
      </c>
      <c r="AA39" s="3">
        <f>IFERROR(IF(VLOOKUP(A39,'Raw Data 3Y'!A:AP,42,FALSE)="","none",VLOOKUP(A39,'Raw Data 3Y'!A:AP,42,FALSE)),"none")</f>
        <v/>
      </c>
      <c r="AB39" s="4" t="inlineStr">
        <is>
          <t>Source</t>
        </is>
      </c>
    </row>
    <row r="40">
      <c r="A40">
        <f>'Raw Data 3Y'!A37</f>
        <v/>
      </c>
      <c r="B40" s="3">
        <f>IFERROR((('Raw Data 3Y'!C37/'Raw Data 3Y'!B37)^(1/'Raw Data 3Y'!D37)-1)*100,"")</f>
        <v/>
      </c>
      <c r="C40" s="3">
        <f>'Raw Data 3Y'!E37</f>
        <v/>
      </c>
      <c r="D40" s="3">
        <f>INT('Raw Data 3Y'!D37)</f>
        <v/>
      </c>
      <c r="E40" s="3">
        <f>IFERROR(AVERAGE(F40:W40),"")</f>
        <v/>
      </c>
      <c r="F40" s="3">
        <f>IFERROR((('Raw Data 3Y'!G37/'Raw Data 3Y'!F37)^(1/3)-1)*100,"")</f>
        <v/>
      </c>
      <c r="G40" s="3">
        <f>IFERROR((('Raw Data 3Y'!I37/'Raw Data 3Y'!H37)^(1/3)-1)*100,"")</f>
        <v/>
      </c>
      <c r="H40" s="3">
        <f>IFERROR((('Raw Data 3Y'!K37/'Raw Data 3Y'!J37)^(1/3)-1)*100,"")</f>
        <v/>
      </c>
      <c r="I40" s="3">
        <f>IFERROR((('Raw Data 3Y'!M37/'Raw Data 3Y'!L37)^(1/3)-1)*100,"")</f>
        <v/>
      </c>
      <c r="J40" s="3">
        <f>IFERROR((('Raw Data 3Y'!O37/'Raw Data 3Y'!N37)^(1/3)-1)*100,"")</f>
        <v/>
      </c>
      <c r="K40" s="3">
        <f>IFERROR((('Raw Data 3Y'!Q37/'Raw Data 3Y'!P37)^(1/3)-1)*100,"")</f>
        <v/>
      </c>
      <c r="L40" s="3">
        <f>IFERROR((('Raw Data 3Y'!S37/'Raw Data 3Y'!R37)^(1/3)-1)*100,"")</f>
        <v/>
      </c>
      <c r="M40" s="3">
        <f>IFERROR((('Raw Data 3Y'!U37/'Raw Data 3Y'!T37)^(1/3)-1)*100,"")</f>
        <v/>
      </c>
      <c r="N40" s="3">
        <f>IFERROR((('Raw Data 3Y'!W37/'Raw Data 3Y'!V37)^(1/3)-1)*100,"")</f>
        <v/>
      </c>
      <c r="O40" s="3">
        <f>IFERROR((('Raw Data 3Y'!Y37/'Raw Data 3Y'!X37)^(1/3)-1)*100,"")</f>
        <v/>
      </c>
      <c r="P40" s="3">
        <f>IFERROR((('Raw Data 3Y'!AA37/'Raw Data 3Y'!Z37)^(1/3)-1)*100,"")</f>
        <v/>
      </c>
      <c r="Q40" s="3">
        <f>IFERROR((('Raw Data 3Y'!AC37/'Raw Data 3Y'!AB37)^(1/3)-1)*100,"")</f>
        <v/>
      </c>
      <c r="R40" s="3">
        <f>IFERROR((('Raw Data 3Y'!AE37/'Raw Data 3Y'!AD37)^(1/3)-1)*100,"")</f>
        <v/>
      </c>
      <c r="S40" s="3">
        <f>IFERROR((('Raw Data 3Y'!AG37/'Raw Data 3Y'!AF37)^(1/3)-1)*100,"")</f>
        <v/>
      </c>
      <c r="T40" s="3">
        <f>IFERROR((('Raw Data 3Y'!AI37/'Raw Data 3Y'!AH37)^(1/3)-1)*100,"")</f>
        <v/>
      </c>
      <c r="U40" s="3">
        <f>IFERROR((('Raw Data 3Y'!AK37/'Raw Data 3Y'!AJ37)^(1/3)-1)*100,"")</f>
        <v/>
      </c>
      <c r="V40" s="3">
        <f>IFERROR((('Raw Data 3Y'!AM37/'Raw Data 3Y'!AL37)^(1/3)-1)*100,"")</f>
        <v/>
      </c>
      <c r="W40" s="3">
        <f>IFERROR((('Raw Data 3Y'!AO37/'Raw Data 3Y'!AN37)^(1/3)-1)*100,"")</f>
        <v/>
      </c>
      <c r="X40" s="3">
        <f>IF(AND(ISNUMBER(F40),COUNT(F$2:F$46)&gt;=4),IF(F40&gt;=QUARTILE(F$2:F$46,3),1,0),0)+IF(AND(ISNUMBER(G40),COUNT(G$2:G$46)&gt;=4),IF(G40&gt;=QUARTILE(G$2:G$46,3),1,0),0)+IF(AND(ISNUMBER(H40),COUNT(H$2:H$46)&gt;=4),IF(H40&gt;=QUARTILE(H$2:H$46,3),1,0),0)+IF(AND(ISNUMBER(I40),COUNT(I$2:I$46)&gt;=4),IF(I40&gt;=QUARTILE(I$2:I$46,3),1,0),0)+IF(AND(ISNUMBER(J40),COUNT(J$2:J$46)&gt;=4),IF(J40&gt;=QUARTILE(J$2:J$46,3),1,0),0)+IF(AND(ISNUMBER(K40),COUNT(K$2:K$46)&gt;=4),IF(K40&gt;=QUARTILE(K$2:K$46,3),1,0),0)+IF(AND(ISNUMBER(L40),COUNT(L$2:L$46)&gt;=4),IF(L40&gt;=QUARTILE(L$2:L$46,3),1,0),0)+IF(AND(ISNUMBER(M40),COUNT(M$2:M$46)&gt;=4),IF(M40&gt;=QUARTILE(M$2:M$46,3),1,0),0)+IF(AND(ISNUMBER(N40),COUNT(N$2:N$46)&gt;=4),IF(N40&gt;=QUARTILE(N$2:N$46,3),1,0),0)+IF(AND(ISNUMBER(O40),COUNT(O$2:O$46)&gt;=4),IF(O40&gt;=QUARTILE(O$2:O$46,3),1,0),0)+IF(AND(ISNUMBER(P40),COUNT(P$2:P$46)&gt;=4),IF(P40&gt;=QUARTILE(P$2:P$46,3),1,0),0)+IF(AND(ISNUMBER(Q40),COUNT(Q$2:Q$46)&gt;=4),IF(Q40&gt;=QUARTILE(Q$2:Q$46,3),1,0),0)+IF(AND(ISNUMBER(R40),COUNT(R$2:R$46)&gt;=4),IF(R40&gt;=QUARTILE(R$2:R$46,3),1,0),0)+IF(AND(ISNUMBER(S40),COUNT(S$2:S$46)&gt;=4),IF(S40&gt;=QUARTILE(S$2:S$46,3),1,0),0)+IF(AND(ISNUMBER(T40),COUNT(T$2:T$46)&gt;=4),IF(T40&gt;=QUARTILE(T$2:T$46,3),1,0),0)+IF(AND(ISNUMBER(U40),COUNT(U$2:U$46)&gt;=4),IF(U40&gt;=QUARTILE(U$2:U$46,3),1,0),0)+IF(AND(ISNUMBER(V40),COUNT(V$2:V$46)&gt;=4),IF(V40&gt;=QUARTILE(V$2:V$46,3),1,0),0)+IF(AND(ISNUMBER(W40),COUNT(W$2:W$46)&gt;=4),IF(W40&gt;=QUARTILE(W$2:W$46,3),1,0),0)</f>
        <v/>
      </c>
      <c r="Y40" s="3">
        <f>IF(AND(ISNUMBER(F40),COUNT(F$2:F$46)&gt;=4),IF(F40&lt;=QUARTILE(F$2:F$46,1),1,0),0)+IF(AND(ISNUMBER(G40),COUNT(G$2:G$46)&gt;=4),IF(G40&lt;=QUARTILE(G$2:G$46,1),1,0),0)+IF(AND(ISNUMBER(H40),COUNT(H$2:H$46)&gt;=4),IF(H40&lt;=QUARTILE(H$2:H$46,1),1,0),0)+IF(AND(ISNUMBER(I40),COUNT(I$2:I$46)&gt;=4),IF(I40&lt;=QUARTILE(I$2:I$46,1),1,0),0)+IF(AND(ISNUMBER(J40),COUNT(J$2:J$46)&gt;=4),IF(J40&lt;=QUARTILE(J$2:J$46,1),1,0),0)+IF(AND(ISNUMBER(K40),COUNT(K$2:K$46)&gt;=4),IF(K40&lt;=QUARTILE(K$2:K$46,1),1,0),0)+IF(AND(ISNUMBER(L40),COUNT(L$2:L$46)&gt;=4),IF(L40&lt;=QUARTILE(L$2:L$46,1),1,0),0)+IF(AND(ISNUMBER(M40),COUNT(M$2:M$46)&gt;=4),IF(M40&lt;=QUARTILE(M$2:M$46,1),1,0),0)+IF(AND(ISNUMBER(N40),COUNT(N$2:N$46)&gt;=4),IF(N40&lt;=QUARTILE(N$2:N$46,1),1,0),0)+IF(AND(ISNUMBER(O40),COUNT(O$2:O$46)&gt;=4),IF(O40&lt;=QUARTILE(O$2:O$46,1),1,0),0)+IF(AND(ISNUMBER(P40),COUNT(P$2:P$46)&gt;=4),IF(P40&lt;=QUARTILE(P$2:P$46,1),1,0),0)+IF(AND(ISNUMBER(Q40),COUNT(Q$2:Q$46)&gt;=4),IF(Q40&lt;=QUARTILE(Q$2:Q$46,1),1,0),0)+IF(AND(ISNUMBER(R40),COUNT(R$2:R$46)&gt;=4),IF(R40&lt;=QUARTILE(R$2:R$46,1),1,0),0)+IF(AND(ISNUMBER(S40),COUNT(S$2:S$46)&gt;=4),IF(S40&lt;=QUARTILE(S$2:S$46,1),1,0),0)+IF(AND(ISNUMBER(T40),COUNT(T$2:T$46)&gt;=4),IF(T40&lt;=QUARTILE(T$2:T$46,1),1,0),0)+IF(AND(ISNUMBER(U40),COUNT(U$2:U$46)&gt;=4),IF(U40&lt;=QUARTILE(U$2:U$46,1),1,0),0)+IF(AND(ISNUMBER(V40),COUNT(V$2:V$46)&gt;=4),IF(V40&lt;=QUARTILE(V$2:V$46,1),1,0),0)+IF(AND(ISNUMBER(W40),COUNT(W$2:W$46)&gt;=4),IF(W40&lt;=QUARTILE(W$2:W$46,1),1,0),0)</f>
        <v/>
      </c>
      <c r="Z40" s="3">
        <f>IF(Y40=0,X40,ROUND(X40/Y40,2))</f>
        <v/>
      </c>
      <c r="AA40" s="3">
        <f>IFERROR(IF(VLOOKUP(A40,'Raw Data 3Y'!A:AP,42,FALSE)="","none",VLOOKUP(A40,'Raw Data 3Y'!A:AP,42,FALSE)),"none")</f>
        <v/>
      </c>
      <c r="AB40" s="4" t="inlineStr">
        <is>
          <t>Source</t>
        </is>
      </c>
    </row>
    <row r="41">
      <c r="A41">
        <f>'Raw Data 3Y'!A33</f>
        <v/>
      </c>
      <c r="B41" s="3">
        <f>IFERROR((('Raw Data 3Y'!C33/'Raw Data 3Y'!B33)^(1/'Raw Data 3Y'!D33)-1)*100,"")</f>
        <v/>
      </c>
      <c r="C41" s="3">
        <f>'Raw Data 3Y'!E33</f>
        <v/>
      </c>
      <c r="D41" s="3">
        <f>INT('Raw Data 3Y'!D33)</f>
        <v/>
      </c>
      <c r="E41" s="3">
        <f>IFERROR(AVERAGE(F41:W41),"")</f>
        <v/>
      </c>
      <c r="F41" s="3">
        <f>IFERROR((('Raw Data 3Y'!G33/'Raw Data 3Y'!F33)^(1/3)-1)*100,"")</f>
        <v/>
      </c>
      <c r="G41" s="3">
        <f>IFERROR((('Raw Data 3Y'!I33/'Raw Data 3Y'!H33)^(1/3)-1)*100,"")</f>
        <v/>
      </c>
      <c r="H41" s="3">
        <f>IFERROR((('Raw Data 3Y'!K33/'Raw Data 3Y'!J33)^(1/3)-1)*100,"")</f>
        <v/>
      </c>
      <c r="I41" s="3">
        <f>IFERROR((('Raw Data 3Y'!M33/'Raw Data 3Y'!L33)^(1/3)-1)*100,"")</f>
        <v/>
      </c>
      <c r="J41" s="3">
        <f>IFERROR((('Raw Data 3Y'!O33/'Raw Data 3Y'!N33)^(1/3)-1)*100,"")</f>
        <v/>
      </c>
      <c r="K41" s="3">
        <f>IFERROR((('Raw Data 3Y'!Q33/'Raw Data 3Y'!P33)^(1/3)-1)*100,"")</f>
        <v/>
      </c>
      <c r="L41" s="3">
        <f>IFERROR((('Raw Data 3Y'!S33/'Raw Data 3Y'!R33)^(1/3)-1)*100,"")</f>
        <v/>
      </c>
      <c r="M41" s="3">
        <f>IFERROR((('Raw Data 3Y'!U33/'Raw Data 3Y'!T33)^(1/3)-1)*100,"")</f>
        <v/>
      </c>
      <c r="N41" s="3">
        <f>IFERROR((('Raw Data 3Y'!W33/'Raw Data 3Y'!V33)^(1/3)-1)*100,"")</f>
        <v/>
      </c>
      <c r="O41" s="3">
        <f>IFERROR((('Raw Data 3Y'!Y33/'Raw Data 3Y'!X33)^(1/3)-1)*100,"")</f>
        <v/>
      </c>
      <c r="P41" s="3">
        <f>IFERROR((('Raw Data 3Y'!AA33/'Raw Data 3Y'!Z33)^(1/3)-1)*100,"")</f>
        <v/>
      </c>
      <c r="Q41" s="3">
        <f>IFERROR((('Raw Data 3Y'!AC33/'Raw Data 3Y'!AB33)^(1/3)-1)*100,"")</f>
        <v/>
      </c>
      <c r="R41" s="3">
        <f>IFERROR((('Raw Data 3Y'!AE33/'Raw Data 3Y'!AD33)^(1/3)-1)*100,"")</f>
        <v/>
      </c>
      <c r="S41" s="3">
        <f>IFERROR((('Raw Data 3Y'!AG33/'Raw Data 3Y'!AF33)^(1/3)-1)*100,"")</f>
        <v/>
      </c>
      <c r="T41" s="3">
        <f>IFERROR((('Raw Data 3Y'!AI33/'Raw Data 3Y'!AH33)^(1/3)-1)*100,"")</f>
        <v/>
      </c>
      <c r="U41" s="3">
        <f>IFERROR((('Raw Data 3Y'!AK33/'Raw Data 3Y'!AJ33)^(1/3)-1)*100,"")</f>
        <v/>
      </c>
      <c r="V41" s="3">
        <f>IFERROR((('Raw Data 3Y'!AM33/'Raw Data 3Y'!AL33)^(1/3)-1)*100,"")</f>
        <v/>
      </c>
      <c r="W41" s="3">
        <f>IFERROR((('Raw Data 3Y'!AO33/'Raw Data 3Y'!AN33)^(1/3)-1)*100,"")</f>
        <v/>
      </c>
      <c r="X41" s="3">
        <f>IF(AND(ISNUMBER(F41),COUNT(F$2:F$46)&gt;=4),IF(F41&gt;=QUARTILE(F$2:F$46,3),1,0),0)+IF(AND(ISNUMBER(G41),COUNT(G$2:G$46)&gt;=4),IF(G41&gt;=QUARTILE(G$2:G$46,3),1,0),0)+IF(AND(ISNUMBER(H41),COUNT(H$2:H$46)&gt;=4),IF(H41&gt;=QUARTILE(H$2:H$46,3),1,0),0)+IF(AND(ISNUMBER(I41),COUNT(I$2:I$46)&gt;=4),IF(I41&gt;=QUARTILE(I$2:I$46,3),1,0),0)+IF(AND(ISNUMBER(J41),COUNT(J$2:J$46)&gt;=4),IF(J41&gt;=QUARTILE(J$2:J$46,3),1,0),0)+IF(AND(ISNUMBER(K41),COUNT(K$2:K$46)&gt;=4),IF(K41&gt;=QUARTILE(K$2:K$46,3),1,0),0)+IF(AND(ISNUMBER(L41),COUNT(L$2:L$46)&gt;=4),IF(L41&gt;=QUARTILE(L$2:L$46,3),1,0),0)+IF(AND(ISNUMBER(M41),COUNT(M$2:M$46)&gt;=4),IF(M41&gt;=QUARTILE(M$2:M$46,3),1,0),0)+IF(AND(ISNUMBER(N41),COUNT(N$2:N$46)&gt;=4),IF(N41&gt;=QUARTILE(N$2:N$46,3),1,0),0)+IF(AND(ISNUMBER(O41),COUNT(O$2:O$46)&gt;=4),IF(O41&gt;=QUARTILE(O$2:O$46,3),1,0),0)+IF(AND(ISNUMBER(P41),COUNT(P$2:P$46)&gt;=4),IF(P41&gt;=QUARTILE(P$2:P$46,3),1,0),0)+IF(AND(ISNUMBER(Q41),COUNT(Q$2:Q$46)&gt;=4),IF(Q41&gt;=QUARTILE(Q$2:Q$46,3),1,0),0)+IF(AND(ISNUMBER(R41),COUNT(R$2:R$46)&gt;=4),IF(R41&gt;=QUARTILE(R$2:R$46,3),1,0),0)+IF(AND(ISNUMBER(S41),COUNT(S$2:S$46)&gt;=4),IF(S41&gt;=QUARTILE(S$2:S$46,3),1,0),0)+IF(AND(ISNUMBER(T41),COUNT(T$2:T$46)&gt;=4),IF(T41&gt;=QUARTILE(T$2:T$46,3),1,0),0)+IF(AND(ISNUMBER(U41),COUNT(U$2:U$46)&gt;=4),IF(U41&gt;=QUARTILE(U$2:U$46,3),1,0),0)+IF(AND(ISNUMBER(V41),COUNT(V$2:V$46)&gt;=4),IF(V41&gt;=QUARTILE(V$2:V$46,3),1,0),0)+IF(AND(ISNUMBER(W41),COUNT(W$2:W$46)&gt;=4),IF(W41&gt;=QUARTILE(W$2:W$46,3),1,0),0)</f>
        <v/>
      </c>
      <c r="Y41" s="3">
        <f>IF(AND(ISNUMBER(F41),COUNT(F$2:F$46)&gt;=4),IF(F41&lt;=QUARTILE(F$2:F$46,1),1,0),0)+IF(AND(ISNUMBER(G41),COUNT(G$2:G$46)&gt;=4),IF(G41&lt;=QUARTILE(G$2:G$46,1),1,0),0)+IF(AND(ISNUMBER(H41),COUNT(H$2:H$46)&gt;=4),IF(H41&lt;=QUARTILE(H$2:H$46,1),1,0),0)+IF(AND(ISNUMBER(I41),COUNT(I$2:I$46)&gt;=4),IF(I41&lt;=QUARTILE(I$2:I$46,1),1,0),0)+IF(AND(ISNUMBER(J41),COUNT(J$2:J$46)&gt;=4),IF(J41&lt;=QUARTILE(J$2:J$46,1),1,0),0)+IF(AND(ISNUMBER(K41),COUNT(K$2:K$46)&gt;=4),IF(K41&lt;=QUARTILE(K$2:K$46,1),1,0),0)+IF(AND(ISNUMBER(L41),COUNT(L$2:L$46)&gt;=4),IF(L41&lt;=QUARTILE(L$2:L$46,1),1,0),0)+IF(AND(ISNUMBER(M41),COUNT(M$2:M$46)&gt;=4),IF(M41&lt;=QUARTILE(M$2:M$46,1),1,0),0)+IF(AND(ISNUMBER(N41),COUNT(N$2:N$46)&gt;=4),IF(N41&lt;=QUARTILE(N$2:N$46,1),1,0),0)+IF(AND(ISNUMBER(O41),COUNT(O$2:O$46)&gt;=4),IF(O41&lt;=QUARTILE(O$2:O$46,1),1,0),0)+IF(AND(ISNUMBER(P41),COUNT(P$2:P$46)&gt;=4),IF(P41&lt;=QUARTILE(P$2:P$46,1),1,0),0)+IF(AND(ISNUMBER(Q41),COUNT(Q$2:Q$46)&gt;=4),IF(Q41&lt;=QUARTILE(Q$2:Q$46,1),1,0),0)+IF(AND(ISNUMBER(R41),COUNT(R$2:R$46)&gt;=4),IF(R41&lt;=QUARTILE(R$2:R$46,1),1,0),0)+IF(AND(ISNUMBER(S41),COUNT(S$2:S$46)&gt;=4),IF(S41&lt;=QUARTILE(S$2:S$46,1),1,0),0)+IF(AND(ISNUMBER(T41),COUNT(T$2:T$46)&gt;=4),IF(T41&lt;=QUARTILE(T$2:T$46,1),1,0),0)+IF(AND(ISNUMBER(U41),COUNT(U$2:U$46)&gt;=4),IF(U41&lt;=QUARTILE(U$2:U$46,1),1,0),0)+IF(AND(ISNUMBER(V41),COUNT(V$2:V$46)&gt;=4),IF(V41&lt;=QUARTILE(V$2:V$46,1),1,0),0)+IF(AND(ISNUMBER(W41),COUNT(W$2:W$46)&gt;=4),IF(W41&lt;=QUARTILE(W$2:W$46,1),1,0),0)</f>
        <v/>
      </c>
      <c r="Z41" s="3">
        <f>IF(Y41=0,X41,ROUND(X41/Y41,2))</f>
        <v/>
      </c>
      <c r="AA41" s="3">
        <f>IFERROR(IF(VLOOKUP(A41,'Raw Data 3Y'!A:AP,42,FALSE)="","none",VLOOKUP(A41,'Raw Data 3Y'!A:AP,42,FALSE)),"none")</f>
        <v/>
      </c>
      <c r="AB41" s="4" t="inlineStr">
        <is>
          <t>Source</t>
        </is>
      </c>
    </row>
    <row r="42">
      <c r="A42">
        <f>'Raw Data 3Y'!A34</f>
        <v/>
      </c>
      <c r="B42" s="3">
        <f>IFERROR((('Raw Data 3Y'!C34/'Raw Data 3Y'!B34)^(1/'Raw Data 3Y'!D34)-1)*100,"")</f>
        <v/>
      </c>
      <c r="C42" s="3">
        <f>'Raw Data 3Y'!E34</f>
        <v/>
      </c>
      <c r="D42" s="3">
        <f>INT('Raw Data 3Y'!D34)</f>
        <v/>
      </c>
      <c r="E42" s="3">
        <f>IFERROR(AVERAGE(F42:W42),"")</f>
        <v/>
      </c>
      <c r="F42" s="3">
        <f>IFERROR((('Raw Data 3Y'!G34/'Raw Data 3Y'!F34)^(1/3)-1)*100,"")</f>
        <v/>
      </c>
      <c r="G42" s="3">
        <f>IFERROR((('Raw Data 3Y'!I34/'Raw Data 3Y'!H34)^(1/3)-1)*100,"")</f>
        <v/>
      </c>
      <c r="H42" s="3">
        <f>IFERROR((('Raw Data 3Y'!K34/'Raw Data 3Y'!J34)^(1/3)-1)*100,"")</f>
        <v/>
      </c>
      <c r="I42" s="3">
        <f>IFERROR((('Raw Data 3Y'!M34/'Raw Data 3Y'!L34)^(1/3)-1)*100,"")</f>
        <v/>
      </c>
      <c r="J42" s="3">
        <f>IFERROR((('Raw Data 3Y'!O34/'Raw Data 3Y'!N34)^(1/3)-1)*100,"")</f>
        <v/>
      </c>
      <c r="K42" s="3">
        <f>IFERROR((('Raw Data 3Y'!Q34/'Raw Data 3Y'!P34)^(1/3)-1)*100,"")</f>
        <v/>
      </c>
      <c r="L42" s="3">
        <f>IFERROR((('Raw Data 3Y'!S34/'Raw Data 3Y'!R34)^(1/3)-1)*100,"")</f>
        <v/>
      </c>
      <c r="M42" s="3">
        <f>IFERROR((('Raw Data 3Y'!U34/'Raw Data 3Y'!T34)^(1/3)-1)*100,"")</f>
        <v/>
      </c>
      <c r="N42" s="3">
        <f>IFERROR((('Raw Data 3Y'!W34/'Raw Data 3Y'!V34)^(1/3)-1)*100,"")</f>
        <v/>
      </c>
      <c r="O42" s="3">
        <f>IFERROR((('Raw Data 3Y'!Y34/'Raw Data 3Y'!X34)^(1/3)-1)*100,"")</f>
        <v/>
      </c>
      <c r="P42" s="3">
        <f>IFERROR((('Raw Data 3Y'!AA34/'Raw Data 3Y'!Z34)^(1/3)-1)*100,"")</f>
        <v/>
      </c>
      <c r="Q42" s="3">
        <f>IFERROR((('Raw Data 3Y'!AC34/'Raw Data 3Y'!AB34)^(1/3)-1)*100,"")</f>
        <v/>
      </c>
      <c r="R42" s="3">
        <f>IFERROR((('Raw Data 3Y'!AE34/'Raw Data 3Y'!AD34)^(1/3)-1)*100,"")</f>
        <v/>
      </c>
      <c r="S42" s="3">
        <f>IFERROR((('Raw Data 3Y'!AG34/'Raw Data 3Y'!AF34)^(1/3)-1)*100,"")</f>
        <v/>
      </c>
      <c r="T42" s="3">
        <f>IFERROR((('Raw Data 3Y'!AI34/'Raw Data 3Y'!AH34)^(1/3)-1)*100,"")</f>
        <v/>
      </c>
      <c r="U42" s="3">
        <f>IFERROR((('Raw Data 3Y'!AK34/'Raw Data 3Y'!AJ34)^(1/3)-1)*100,"")</f>
        <v/>
      </c>
      <c r="V42" s="3">
        <f>IFERROR((('Raw Data 3Y'!AM34/'Raw Data 3Y'!AL34)^(1/3)-1)*100,"")</f>
        <v/>
      </c>
      <c r="W42" s="3">
        <f>IFERROR((('Raw Data 3Y'!AO34/'Raw Data 3Y'!AN34)^(1/3)-1)*100,"")</f>
        <v/>
      </c>
      <c r="X42" s="3">
        <f>IF(AND(ISNUMBER(F42),COUNT(F$2:F$46)&gt;=4),IF(F42&gt;=QUARTILE(F$2:F$46,3),1,0),0)+IF(AND(ISNUMBER(G42),COUNT(G$2:G$46)&gt;=4),IF(G42&gt;=QUARTILE(G$2:G$46,3),1,0),0)+IF(AND(ISNUMBER(H42),COUNT(H$2:H$46)&gt;=4),IF(H42&gt;=QUARTILE(H$2:H$46,3),1,0),0)+IF(AND(ISNUMBER(I42),COUNT(I$2:I$46)&gt;=4),IF(I42&gt;=QUARTILE(I$2:I$46,3),1,0),0)+IF(AND(ISNUMBER(J42),COUNT(J$2:J$46)&gt;=4),IF(J42&gt;=QUARTILE(J$2:J$46,3),1,0),0)+IF(AND(ISNUMBER(K42),COUNT(K$2:K$46)&gt;=4),IF(K42&gt;=QUARTILE(K$2:K$46,3),1,0),0)+IF(AND(ISNUMBER(L42),COUNT(L$2:L$46)&gt;=4),IF(L42&gt;=QUARTILE(L$2:L$46,3),1,0),0)+IF(AND(ISNUMBER(M42),COUNT(M$2:M$46)&gt;=4),IF(M42&gt;=QUARTILE(M$2:M$46,3),1,0),0)+IF(AND(ISNUMBER(N42),COUNT(N$2:N$46)&gt;=4),IF(N42&gt;=QUARTILE(N$2:N$46,3),1,0),0)+IF(AND(ISNUMBER(O42),COUNT(O$2:O$46)&gt;=4),IF(O42&gt;=QUARTILE(O$2:O$46,3),1,0),0)+IF(AND(ISNUMBER(P42),COUNT(P$2:P$46)&gt;=4),IF(P42&gt;=QUARTILE(P$2:P$46,3),1,0),0)+IF(AND(ISNUMBER(Q42),COUNT(Q$2:Q$46)&gt;=4),IF(Q42&gt;=QUARTILE(Q$2:Q$46,3),1,0),0)+IF(AND(ISNUMBER(R42),COUNT(R$2:R$46)&gt;=4),IF(R42&gt;=QUARTILE(R$2:R$46,3),1,0),0)+IF(AND(ISNUMBER(S42),COUNT(S$2:S$46)&gt;=4),IF(S42&gt;=QUARTILE(S$2:S$46,3),1,0),0)+IF(AND(ISNUMBER(T42),COUNT(T$2:T$46)&gt;=4),IF(T42&gt;=QUARTILE(T$2:T$46,3),1,0),0)+IF(AND(ISNUMBER(U42),COUNT(U$2:U$46)&gt;=4),IF(U42&gt;=QUARTILE(U$2:U$46,3),1,0),0)+IF(AND(ISNUMBER(V42),COUNT(V$2:V$46)&gt;=4),IF(V42&gt;=QUARTILE(V$2:V$46,3),1,0),0)+IF(AND(ISNUMBER(W42),COUNT(W$2:W$46)&gt;=4),IF(W42&gt;=QUARTILE(W$2:W$46,3),1,0),0)</f>
        <v/>
      </c>
      <c r="Y42" s="3">
        <f>IF(AND(ISNUMBER(F42),COUNT(F$2:F$46)&gt;=4),IF(F42&lt;=QUARTILE(F$2:F$46,1),1,0),0)+IF(AND(ISNUMBER(G42),COUNT(G$2:G$46)&gt;=4),IF(G42&lt;=QUARTILE(G$2:G$46,1),1,0),0)+IF(AND(ISNUMBER(H42),COUNT(H$2:H$46)&gt;=4),IF(H42&lt;=QUARTILE(H$2:H$46,1),1,0),0)+IF(AND(ISNUMBER(I42),COUNT(I$2:I$46)&gt;=4),IF(I42&lt;=QUARTILE(I$2:I$46,1),1,0),0)+IF(AND(ISNUMBER(J42),COUNT(J$2:J$46)&gt;=4),IF(J42&lt;=QUARTILE(J$2:J$46,1),1,0),0)+IF(AND(ISNUMBER(K42),COUNT(K$2:K$46)&gt;=4),IF(K42&lt;=QUARTILE(K$2:K$46,1),1,0),0)+IF(AND(ISNUMBER(L42),COUNT(L$2:L$46)&gt;=4),IF(L42&lt;=QUARTILE(L$2:L$46,1),1,0),0)+IF(AND(ISNUMBER(M42),COUNT(M$2:M$46)&gt;=4),IF(M42&lt;=QUARTILE(M$2:M$46,1),1,0),0)+IF(AND(ISNUMBER(N42),COUNT(N$2:N$46)&gt;=4),IF(N42&lt;=QUARTILE(N$2:N$46,1),1,0),0)+IF(AND(ISNUMBER(O42),COUNT(O$2:O$46)&gt;=4),IF(O42&lt;=QUARTILE(O$2:O$46,1),1,0),0)+IF(AND(ISNUMBER(P42),COUNT(P$2:P$46)&gt;=4),IF(P42&lt;=QUARTILE(P$2:P$46,1),1,0),0)+IF(AND(ISNUMBER(Q42),COUNT(Q$2:Q$46)&gt;=4),IF(Q42&lt;=QUARTILE(Q$2:Q$46,1),1,0),0)+IF(AND(ISNUMBER(R42),COUNT(R$2:R$46)&gt;=4),IF(R42&lt;=QUARTILE(R$2:R$46,1),1,0),0)+IF(AND(ISNUMBER(S42),COUNT(S$2:S$46)&gt;=4),IF(S42&lt;=QUARTILE(S$2:S$46,1),1,0),0)+IF(AND(ISNUMBER(T42),COUNT(T$2:T$46)&gt;=4),IF(T42&lt;=QUARTILE(T$2:T$46,1),1,0),0)+IF(AND(ISNUMBER(U42),COUNT(U$2:U$46)&gt;=4),IF(U42&lt;=QUARTILE(U$2:U$46,1),1,0),0)+IF(AND(ISNUMBER(V42),COUNT(V$2:V$46)&gt;=4),IF(V42&lt;=QUARTILE(V$2:V$46,1),1,0),0)+IF(AND(ISNUMBER(W42),COUNT(W$2:W$46)&gt;=4),IF(W42&lt;=QUARTILE(W$2:W$46,1),1,0),0)</f>
        <v/>
      </c>
      <c r="Z42" s="3">
        <f>IF(Y42=0,X42,ROUND(X42/Y42,2))</f>
        <v/>
      </c>
      <c r="AA42" s="3">
        <f>IFERROR(IF(VLOOKUP(A42,'Raw Data 3Y'!A:AP,42,FALSE)="","none",VLOOKUP(A42,'Raw Data 3Y'!A:AP,42,FALSE)),"none")</f>
        <v/>
      </c>
      <c r="AB42" s="4" t="inlineStr">
        <is>
          <t>Source</t>
        </is>
      </c>
    </row>
    <row r="43">
      <c r="A43">
        <f>'Raw Data 3Y'!A22</f>
        <v/>
      </c>
      <c r="B43" s="3">
        <f>IFERROR((('Raw Data 3Y'!C22/'Raw Data 3Y'!B22)^(1/'Raw Data 3Y'!D22)-1)*100,"")</f>
        <v/>
      </c>
      <c r="C43" s="3">
        <f>'Raw Data 3Y'!E22</f>
        <v/>
      </c>
      <c r="D43" s="3">
        <f>INT('Raw Data 3Y'!D22)</f>
        <v/>
      </c>
      <c r="E43" s="3">
        <f>IFERROR(AVERAGE(F43:W43),"")</f>
        <v/>
      </c>
      <c r="F43" s="3">
        <f>IFERROR((('Raw Data 3Y'!G22/'Raw Data 3Y'!F22)^(1/3)-1)*100,"")</f>
        <v/>
      </c>
      <c r="G43" s="3">
        <f>IFERROR((('Raw Data 3Y'!I22/'Raw Data 3Y'!H22)^(1/3)-1)*100,"")</f>
        <v/>
      </c>
      <c r="H43" s="3">
        <f>IFERROR((('Raw Data 3Y'!K22/'Raw Data 3Y'!J22)^(1/3)-1)*100,"")</f>
        <v/>
      </c>
      <c r="I43" s="3">
        <f>IFERROR((('Raw Data 3Y'!M22/'Raw Data 3Y'!L22)^(1/3)-1)*100,"")</f>
        <v/>
      </c>
      <c r="J43" s="3">
        <f>IFERROR((('Raw Data 3Y'!O22/'Raw Data 3Y'!N22)^(1/3)-1)*100,"")</f>
        <v/>
      </c>
      <c r="K43" s="3">
        <f>IFERROR((('Raw Data 3Y'!Q22/'Raw Data 3Y'!P22)^(1/3)-1)*100,"")</f>
        <v/>
      </c>
      <c r="L43" s="3">
        <f>IFERROR((('Raw Data 3Y'!S22/'Raw Data 3Y'!R22)^(1/3)-1)*100,"")</f>
        <v/>
      </c>
      <c r="M43" s="3">
        <f>IFERROR((('Raw Data 3Y'!U22/'Raw Data 3Y'!T22)^(1/3)-1)*100,"")</f>
        <v/>
      </c>
      <c r="N43" s="3">
        <f>IFERROR((('Raw Data 3Y'!W22/'Raw Data 3Y'!V22)^(1/3)-1)*100,"")</f>
        <v/>
      </c>
      <c r="O43" s="3">
        <f>IFERROR((('Raw Data 3Y'!Y22/'Raw Data 3Y'!X22)^(1/3)-1)*100,"")</f>
        <v/>
      </c>
      <c r="P43" s="3">
        <f>IFERROR((('Raw Data 3Y'!AA22/'Raw Data 3Y'!Z22)^(1/3)-1)*100,"")</f>
        <v/>
      </c>
      <c r="Q43" s="3">
        <f>IFERROR((('Raw Data 3Y'!AC22/'Raw Data 3Y'!AB22)^(1/3)-1)*100,"")</f>
        <v/>
      </c>
      <c r="R43" s="3">
        <f>IFERROR((('Raw Data 3Y'!AE22/'Raw Data 3Y'!AD22)^(1/3)-1)*100,"")</f>
        <v/>
      </c>
      <c r="S43" s="3">
        <f>IFERROR((('Raw Data 3Y'!AG22/'Raw Data 3Y'!AF22)^(1/3)-1)*100,"")</f>
        <v/>
      </c>
      <c r="T43" s="3">
        <f>IFERROR((('Raw Data 3Y'!AI22/'Raw Data 3Y'!AH22)^(1/3)-1)*100,"")</f>
        <v/>
      </c>
      <c r="U43" s="3">
        <f>IFERROR((('Raw Data 3Y'!AK22/'Raw Data 3Y'!AJ22)^(1/3)-1)*100,"")</f>
        <v/>
      </c>
      <c r="V43" s="3">
        <f>IFERROR((('Raw Data 3Y'!AM22/'Raw Data 3Y'!AL22)^(1/3)-1)*100,"")</f>
        <v/>
      </c>
      <c r="W43" s="3">
        <f>IFERROR((('Raw Data 3Y'!AO22/'Raw Data 3Y'!AN22)^(1/3)-1)*100,"")</f>
        <v/>
      </c>
      <c r="X43" s="3">
        <f>IF(AND(ISNUMBER(F43),COUNT(F$2:F$46)&gt;=4),IF(F43&gt;=QUARTILE(F$2:F$46,3),1,0),0)+IF(AND(ISNUMBER(G43),COUNT(G$2:G$46)&gt;=4),IF(G43&gt;=QUARTILE(G$2:G$46,3),1,0),0)+IF(AND(ISNUMBER(H43),COUNT(H$2:H$46)&gt;=4),IF(H43&gt;=QUARTILE(H$2:H$46,3),1,0),0)+IF(AND(ISNUMBER(I43),COUNT(I$2:I$46)&gt;=4),IF(I43&gt;=QUARTILE(I$2:I$46,3),1,0),0)+IF(AND(ISNUMBER(J43),COUNT(J$2:J$46)&gt;=4),IF(J43&gt;=QUARTILE(J$2:J$46,3),1,0),0)+IF(AND(ISNUMBER(K43),COUNT(K$2:K$46)&gt;=4),IF(K43&gt;=QUARTILE(K$2:K$46,3),1,0),0)+IF(AND(ISNUMBER(L43),COUNT(L$2:L$46)&gt;=4),IF(L43&gt;=QUARTILE(L$2:L$46,3),1,0),0)+IF(AND(ISNUMBER(M43),COUNT(M$2:M$46)&gt;=4),IF(M43&gt;=QUARTILE(M$2:M$46,3),1,0),0)+IF(AND(ISNUMBER(N43),COUNT(N$2:N$46)&gt;=4),IF(N43&gt;=QUARTILE(N$2:N$46,3),1,0),0)+IF(AND(ISNUMBER(O43),COUNT(O$2:O$46)&gt;=4),IF(O43&gt;=QUARTILE(O$2:O$46,3),1,0),0)+IF(AND(ISNUMBER(P43),COUNT(P$2:P$46)&gt;=4),IF(P43&gt;=QUARTILE(P$2:P$46,3),1,0),0)+IF(AND(ISNUMBER(Q43),COUNT(Q$2:Q$46)&gt;=4),IF(Q43&gt;=QUARTILE(Q$2:Q$46,3),1,0),0)+IF(AND(ISNUMBER(R43),COUNT(R$2:R$46)&gt;=4),IF(R43&gt;=QUARTILE(R$2:R$46,3),1,0),0)+IF(AND(ISNUMBER(S43),COUNT(S$2:S$46)&gt;=4),IF(S43&gt;=QUARTILE(S$2:S$46,3),1,0),0)+IF(AND(ISNUMBER(T43),COUNT(T$2:T$46)&gt;=4),IF(T43&gt;=QUARTILE(T$2:T$46,3),1,0),0)+IF(AND(ISNUMBER(U43),COUNT(U$2:U$46)&gt;=4),IF(U43&gt;=QUARTILE(U$2:U$46,3),1,0),0)+IF(AND(ISNUMBER(V43),COUNT(V$2:V$46)&gt;=4),IF(V43&gt;=QUARTILE(V$2:V$46,3),1,0),0)+IF(AND(ISNUMBER(W43),COUNT(W$2:W$46)&gt;=4),IF(W43&gt;=QUARTILE(W$2:W$46,3),1,0),0)</f>
        <v/>
      </c>
      <c r="Y43" s="3">
        <f>IF(AND(ISNUMBER(F43),COUNT(F$2:F$46)&gt;=4),IF(F43&lt;=QUARTILE(F$2:F$46,1),1,0),0)+IF(AND(ISNUMBER(G43),COUNT(G$2:G$46)&gt;=4),IF(G43&lt;=QUARTILE(G$2:G$46,1),1,0),0)+IF(AND(ISNUMBER(H43),COUNT(H$2:H$46)&gt;=4),IF(H43&lt;=QUARTILE(H$2:H$46,1),1,0),0)+IF(AND(ISNUMBER(I43),COUNT(I$2:I$46)&gt;=4),IF(I43&lt;=QUARTILE(I$2:I$46,1),1,0),0)+IF(AND(ISNUMBER(J43),COUNT(J$2:J$46)&gt;=4),IF(J43&lt;=QUARTILE(J$2:J$46,1),1,0),0)+IF(AND(ISNUMBER(K43),COUNT(K$2:K$46)&gt;=4),IF(K43&lt;=QUARTILE(K$2:K$46,1),1,0),0)+IF(AND(ISNUMBER(L43),COUNT(L$2:L$46)&gt;=4),IF(L43&lt;=QUARTILE(L$2:L$46,1),1,0),0)+IF(AND(ISNUMBER(M43),COUNT(M$2:M$46)&gt;=4),IF(M43&lt;=QUARTILE(M$2:M$46,1),1,0),0)+IF(AND(ISNUMBER(N43),COUNT(N$2:N$46)&gt;=4),IF(N43&lt;=QUARTILE(N$2:N$46,1),1,0),0)+IF(AND(ISNUMBER(O43),COUNT(O$2:O$46)&gt;=4),IF(O43&lt;=QUARTILE(O$2:O$46,1),1,0),0)+IF(AND(ISNUMBER(P43),COUNT(P$2:P$46)&gt;=4),IF(P43&lt;=QUARTILE(P$2:P$46,1),1,0),0)+IF(AND(ISNUMBER(Q43),COUNT(Q$2:Q$46)&gt;=4),IF(Q43&lt;=QUARTILE(Q$2:Q$46,1),1,0),0)+IF(AND(ISNUMBER(R43),COUNT(R$2:R$46)&gt;=4),IF(R43&lt;=QUARTILE(R$2:R$46,1),1,0),0)+IF(AND(ISNUMBER(S43),COUNT(S$2:S$46)&gt;=4),IF(S43&lt;=QUARTILE(S$2:S$46,1),1,0),0)+IF(AND(ISNUMBER(T43),COUNT(T$2:T$46)&gt;=4),IF(T43&lt;=QUARTILE(T$2:T$46,1),1,0),0)+IF(AND(ISNUMBER(U43),COUNT(U$2:U$46)&gt;=4),IF(U43&lt;=QUARTILE(U$2:U$46,1),1,0),0)+IF(AND(ISNUMBER(V43),COUNT(V$2:V$46)&gt;=4),IF(V43&lt;=QUARTILE(V$2:V$46,1),1,0),0)+IF(AND(ISNUMBER(W43),COUNT(W$2:W$46)&gt;=4),IF(W43&lt;=QUARTILE(W$2:W$46,1),1,0),0)</f>
        <v/>
      </c>
      <c r="Z43" s="3">
        <f>IF(Y43=0,X43,ROUND(X43/Y43,2))</f>
        <v/>
      </c>
      <c r="AA43" s="3">
        <f>IFERROR(IF(VLOOKUP(A43,'Raw Data 3Y'!A:AP,42,FALSE)="","none",VLOOKUP(A43,'Raw Data 3Y'!A:AP,42,FALSE)),"none")</f>
        <v/>
      </c>
      <c r="AB43" s="4" t="inlineStr">
        <is>
          <t>Source</t>
        </is>
      </c>
    </row>
    <row r="44">
      <c r="A44">
        <f>'Raw Data 3Y'!A24</f>
        <v/>
      </c>
      <c r="B44" s="3">
        <f>IFERROR((('Raw Data 3Y'!C24/'Raw Data 3Y'!B24)^(1/'Raw Data 3Y'!D24)-1)*100,"")</f>
        <v/>
      </c>
      <c r="C44" s="3">
        <f>'Raw Data 3Y'!E24</f>
        <v/>
      </c>
      <c r="D44" s="3">
        <f>INT('Raw Data 3Y'!D24)</f>
        <v/>
      </c>
      <c r="E44" s="3">
        <f>IFERROR(AVERAGE(F44:W44),"")</f>
        <v/>
      </c>
      <c r="F44" s="3">
        <f>IFERROR((('Raw Data 3Y'!G24/'Raw Data 3Y'!F24)^(1/3)-1)*100,"")</f>
        <v/>
      </c>
      <c r="G44" s="3">
        <f>IFERROR((('Raw Data 3Y'!I24/'Raw Data 3Y'!H24)^(1/3)-1)*100,"")</f>
        <v/>
      </c>
      <c r="H44" s="3">
        <f>IFERROR((('Raw Data 3Y'!K24/'Raw Data 3Y'!J24)^(1/3)-1)*100,"")</f>
        <v/>
      </c>
      <c r="I44" s="3">
        <f>IFERROR((('Raw Data 3Y'!M24/'Raw Data 3Y'!L24)^(1/3)-1)*100,"")</f>
        <v/>
      </c>
      <c r="J44" s="3">
        <f>IFERROR((('Raw Data 3Y'!O24/'Raw Data 3Y'!N24)^(1/3)-1)*100,"")</f>
        <v/>
      </c>
      <c r="K44" s="3">
        <f>IFERROR((('Raw Data 3Y'!Q24/'Raw Data 3Y'!P24)^(1/3)-1)*100,"")</f>
        <v/>
      </c>
      <c r="L44" s="3">
        <f>IFERROR((('Raw Data 3Y'!S24/'Raw Data 3Y'!R24)^(1/3)-1)*100,"")</f>
        <v/>
      </c>
      <c r="M44" s="3">
        <f>IFERROR((('Raw Data 3Y'!U24/'Raw Data 3Y'!T24)^(1/3)-1)*100,"")</f>
        <v/>
      </c>
      <c r="N44" s="3">
        <f>IFERROR((('Raw Data 3Y'!W24/'Raw Data 3Y'!V24)^(1/3)-1)*100,"")</f>
        <v/>
      </c>
      <c r="O44" s="3">
        <f>IFERROR((('Raw Data 3Y'!Y24/'Raw Data 3Y'!X24)^(1/3)-1)*100,"")</f>
        <v/>
      </c>
      <c r="P44" s="3">
        <f>IFERROR((('Raw Data 3Y'!AA24/'Raw Data 3Y'!Z24)^(1/3)-1)*100,"")</f>
        <v/>
      </c>
      <c r="Q44" s="3">
        <f>IFERROR((('Raw Data 3Y'!AC24/'Raw Data 3Y'!AB24)^(1/3)-1)*100,"")</f>
        <v/>
      </c>
      <c r="R44" s="3">
        <f>IFERROR((('Raw Data 3Y'!AE24/'Raw Data 3Y'!AD24)^(1/3)-1)*100,"")</f>
        <v/>
      </c>
      <c r="S44" s="3">
        <f>IFERROR((('Raw Data 3Y'!AG24/'Raw Data 3Y'!AF24)^(1/3)-1)*100,"")</f>
        <v/>
      </c>
      <c r="T44" s="3">
        <f>IFERROR((('Raw Data 3Y'!AI24/'Raw Data 3Y'!AH24)^(1/3)-1)*100,"")</f>
        <v/>
      </c>
      <c r="U44" s="3">
        <f>IFERROR((('Raw Data 3Y'!AK24/'Raw Data 3Y'!AJ24)^(1/3)-1)*100,"")</f>
        <v/>
      </c>
      <c r="V44" s="3">
        <f>IFERROR((('Raw Data 3Y'!AM24/'Raw Data 3Y'!AL24)^(1/3)-1)*100,"")</f>
        <v/>
      </c>
      <c r="W44" s="3">
        <f>IFERROR((('Raw Data 3Y'!AO24/'Raw Data 3Y'!AN24)^(1/3)-1)*100,"")</f>
        <v/>
      </c>
      <c r="X44" s="3">
        <f>IF(AND(ISNUMBER(F44),COUNT(F$2:F$46)&gt;=4),IF(F44&gt;=QUARTILE(F$2:F$46,3),1,0),0)+IF(AND(ISNUMBER(G44),COUNT(G$2:G$46)&gt;=4),IF(G44&gt;=QUARTILE(G$2:G$46,3),1,0),0)+IF(AND(ISNUMBER(H44),COUNT(H$2:H$46)&gt;=4),IF(H44&gt;=QUARTILE(H$2:H$46,3),1,0),0)+IF(AND(ISNUMBER(I44),COUNT(I$2:I$46)&gt;=4),IF(I44&gt;=QUARTILE(I$2:I$46,3),1,0),0)+IF(AND(ISNUMBER(J44),COUNT(J$2:J$46)&gt;=4),IF(J44&gt;=QUARTILE(J$2:J$46,3),1,0),0)+IF(AND(ISNUMBER(K44),COUNT(K$2:K$46)&gt;=4),IF(K44&gt;=QUARTILE(K$2:K$46,3),1,0),0)+IF(AND(ISNUMBER(L44),COUNT(L$2:L$46)&gt;=4),IF(L44&gt;=QUARTILE(L$2:L$46,3),1,0),0)+IF(AND(ISNUMBER(M44),COUNT(M$2:M$46)&gt;=4),IF(M44&gt;=QUARTILE(M$2:M$46,3),1,0),0)+IF(AND(ISNUMBER(N44),COUNT(N$2:N$46)&gt;=4),IF(N44&gt;=QUARTILE(N$2:N$46,3),1,0),0)+IF(AND(ISNUMBER(O44),COUNT(O$2:O$46)&gt;=4),IF(O44&gt;=QUARTILE(O$2:O$46,3),1,0),0)+IF(AND(ISNUMBER(P44),COUNT(P$2:P$46)&gt;=4),IF(P44&gt;=QUARTILE(P$2:P$46,3),1,0),0)+IF(AND(ISNUMBER(Q44),COUNT(Q$2:Q$46)&gt;=4),IF(Q44&gt;=QUARTILE(Q$2:Q$46,3),1,0),0)+IF(AND(ISNUMBER(R44),COUNT(R$2:R$46)&gt;=4),IF(R44&gt;=QUARTILE(R$2:R$46,3),1,0),0)+IF(AND(ISNUMBER(S44),COUNT(S$2:S$46)&gt;=4),IF(S44&gt;=QUARTILE(S$2:S$46,3),1,0),0)+IF(AND(ISNUMBER(T44),COUNT(T$2:T$46)&gt;=4),IF(T44&gt;=QUARTILE(T$2:T$46,3),1,0),0)+IF(AND(ISNUMBER(U44),COUNT(U$2:U$46)&gt;=4),IF(U44&gt;=QUARTILE(U$2:U$46,3),1,0),0)+IF(AND(ISNUMBER(V44),COUNT(V$2:V$46)&gt;=4),IF(V44&gt;=QUARTILE(V$2:V$46,3),1,0),0)+IF(AND(ISNUMBER(W44),COUNT(W$2:W$46)&gt;=4),IF(W44&gt;=QUARTILE(W$2:W$46,3),1,0),0)</f>
        <v/>
      </c>
      <c r="Y44" s="3">
        <f>IF(AND(ISNUMBER(F44),COUNT(F$2:F$46)&gt;=4),IF(F44&lt;=QUARTILE(F$2:F$46,1),1,0),0)+IF(AND(ISNUMBER(G44),COUNT(G$2:G$46)&gt;=4),IF(G44&lt;=QUARTILE(G$2:G$46,1),1,0),0)+IF(AND(ISNUMBER(H44),COUNT(H$2:H$46)&gt;=4),IF(H44&lt;=QUARTILE(H$2:H$46,1),1,0),0)+IF(AND(ISNUMBER(I44),COUNT(I$2:I$46)&gt;=4),IF(I44&lt;=QUARTILE(I$2:I$46,1),1,0),0)+IF(AND(ISNUMBER(J44),COUNT(J$2:J$46)&gt;=4),IF(J44&lt;=QUARTILE(J$2:J$46,1),1,0),0)+IF(AND(ISNUMBER(K44),COUNT(K$2:K$46)&gt;=4),IF(K44&lt;=QUARTILE(K$2:K$46,1),1,0),0)+IF(AND(ISNUMBER(L44),COUNT(L$2:L$46)&gt;=4),IF(L44&lt;=QUARTILE(L$2:L$46,1),1,0),0)+IF(AND(ISNUMBER(M44),COUNT(M$2:M$46)&gt;=4),IF(M44&lt;=QUARTILE(M$2:M$46,1),1,0),0)+IF(AND(ISNUMBER(N44),COUNT(N$2:N$46)&gt;=4),IF(N44&lt;=QUARTILE(N$2:N$46,1),1,0),0)+IF(AND(ISNUMBER(O44),COUNT(O$2:O$46)&gt;=4),IF(O44&lt;=QUARTILE(O$2:O$46,1),1,0),0)+IF(AND(ISNUMBER(P44),COUNT(P$2:P$46)&gt;=4),IF(P44&lt;=QUARTILE(P$2:P$46,1),1,0),0)+IF(AND(ISNUMBER(Q44),COUNT(Q$2:Q$46)&gt;=4),IF(Q44&lt;=QUARTILE(Q$2:Q$46,1),1,0),0)+IF(AND(ISNUMBER(R44),COUNT(R$2:R$46)&gt;=4),IF(R44&lt;=QUARTILE(R$2:R$46,1),1,0),0)+IF(AND(ISNUMBER(S44),COUNT(S$2:S$46)&gt;=4),IF(S44&lt;=QUARTILE(S$2:S$46,1),1,0),0)+IF(AND(ISNUMBER(T44),COUNT(T$2:T$46)&gt;=4),IF(T44&lt;=QUARTILE(T$2:T$46,1),1,0),0)+IF(AND(ISNUMBER(U44),COUNT(U$2:U$46)&gt;=4),IF(U44&lt;=QUARTILE(U$2:U$46,1),1,0),0)+IF(AND(ISNUMBER(V44),COUNT(V$2:V$46)&gt;=4),IF(V44&lt;=QUARTILE(V$2:V$46,1),1,0),0)+IF(AND(ISNUMBER(W44),COUNT(W$2:W$46)&gt;=4),IF(W44&lt;=QUARTILE(W$2:W$46,1),1,0),0)</f>
        <v/>
      </c>
      <c r="Z44" s="3">
        <f>IF(Y44=0,X44,ROUND(X44/Y44,2))</f>
        <v/>
      </c>
      <c r="AA44" s="3">
        <f>IFERROR(IF(VLOOKUP(A44,'Raw Data 3Y'!A:AP,42,FALSE)="","none",VLOOKUP(A44,'Raw Data 3Y'!A:AP,42,FALSE)),"none")</f>
        <v/>
      </c>
      <c r="AB44" s="4" t="inlineStr">
        <is>
          <t>Source</t>
        </is>
      </c>
    </row>
    <row r="45">
      <c r="A45">
        <f>'Raw Data 3Y'!A9</f>
        <v/>
      </c>
      <c r="B45" s="3">
        <f>IFERROR((('Raw Data 3Y'!C9/'Raw Data 3Y'!B9)^(1/'Raw Data 3Y'!D9)-1)*100,"")</f>
        <v/>
      </c>
      <c r="C45" s="3">
        <f>'Raw Data 3Y'!E9</f>
        <v/>
      </c>
      <c r="D45" s="3">
        <f>INT('Raw Data 3Y'!D9)</f>
        <v/>
      </c>
      <c r="E45" s="3">
        <f>IFERROR(AVERAGE(F45:W45),"")</f>
        <v/>
      </c>
      <c r="F45" s="3">
        <f>IFERROR((('Raw Data 3Y'!G9/'Raw Data 3Y'!F9)^(1/3)-1)*100,"")</f>
        <v/>
      </c>
      <c r="G45" s="3">
        <f>IFERROR((('Raw Data 3Y'!I9/'Raw Data 3Y'!H9)^(1/3)-1)*100,"")</f>
        <v/>
      </c>
      <c r="H45" s="3">
        <f>IFERROR((('Raw Data 3Y'!K9/'Raw Data 3Y'!J9)^(1/3)-1)*100,"")</f>
        <v/>
      </c>
      <c r="I45" s="3">
        <f>IFERROR((('Raw Data 3Y'!M9/'Raw Data 3Y'!L9)^(1/3)-1)*100,"")</f>
        <v/>
      </c>
      <c r="J45" s="3">
        <f>IFERROR((('Raw Data 3Y'!O9/'Raw Data 3Y'!N9)^(1/3)-1)*100,"")</f>
        <v/>
      </c>
      <c r="K45" s="3">
        <f>IFERROR((('Raw Data 3Y'!Q9/'Raw Data 3Y'!P9)^(1/3)-1)*100,"")</f>
        <v/>
      </c>
      <c r="L45" s="3">
        <f>IFERROR((('Raw Data 3Y'!S9/'Raw Data 3Y'!R9)^(1/3)-1)*100,"")</f>
        <v/>
      </c>
      <c r="M45" s="3">
        <f>IFERROR((('Raw Data 3Y'!U9/'Raw Data 3Y'!T9)^(1/3)-1)*100,"")</f>
        <v/>
      </c>
      <c r="N45" s="3">
        <f>IFERROR((('Raw Data 3Y'!W9/'Raw Data 3Y'!V9)^(1/3)-1)*100,"")</f>
        <v/>
      </c>
      <c r="O45" s="3">
        <f>IFERROR((('Raw Data 3Y'!Y9/'Raw Data 3Y'!X9)^(1/3)-1)*100,"")</f>
        <v/>
      </c>
      <c r="P45" s="3">
        <f>IFERROR((('Raw Data 3Y'!AA9/'Raw Data 3Y'!Z9)^(1/3)-1)*100,"")</f>
        <v/>
      </c>
      <c r="Q45" s="3">
        <f>IFERROR((('Raw Data 3Y'!AC9/'Raw Data 3Y'!AB9)^(1/3)-1)*100,"")</f>
        <v/>
      </c>
      <c r="R45" s="3">
        <f>IFERROR((('Raw Data 3Y'!AE9/'Raw Data 3Y'!AD9)^(1/3)-1)*100,"")</f>
        <v/>
      </c>
      <c r="S45" s="3">
        <f>IFERROR((('Raw Data 3Y'!AG9/'Raw Data 3Y'!AF9)^(1/3)-1)*100,"")</f>
        <v/>
      </c>
      <c r="T45" s="3">
        <f>IFERROR((('Raw Data 3Y'!AI9/'Raw Data 3Y'!AH9)^(1/3)-1)*100,"")</f>
        <v/>
      </c>
      <c r="U45" s="3">
        <f>IFERROR((('Raw Data 3Y'!AK9/'Raw Data 3Y'!AJ9)^(1/3)-1)*100,"")</f>
        <v/>
      </c>
      <c r="V45" s="3">
        <f>IFERROR((('Raw Data 3Y'!AM9/'Raw Data 3Y'!AL9)^(1/3)-1)*100,"")</f>
        <v/>
      </c>
      <c r="W45" s="3">
        <f>IFERROR((('Raw Data 3Y'!AO9/'Raw Data 3Y'!AN9)^(1/3)-1)*100,"")</f>
        <v/>
      </c>
      <c r="X45" s="3">
        <f>IF(AND(ISNUMBER(F45),COUNT(F$2:F$46)&gt;=4),IF(F45&gt;=QUARTILE(F$2:F$46,3),1,0),0)+IF(AND(ISNUMBER(G45),COUNT(G$2:G$46)&gt;=4),IF(G45&gt;=QUARTILE(G$2:G$46,3),1,0),0)+IF(AND(ISNUMBER(H45),COUNT(H$2:H$46)&gt;=4),IF(H45&gt;=QUARTILE(H$2:H$46,3),1,0),0)+IF(AND(ISNUMBER(I45),COUNT(I$2:I$46)&gt;=4),IF(I45&gt;=QUARTILE(I$2:I$46,3),1,0),0)+IF(AND(ISNUMBER(J45),COUNT(J$2:J$46)&gt;=4),IF(J45&gt;=QUARTILE(J$2:J$46,3),1,0),0)+IF(AND(ISNUMBER(K45),COUNT(K$2:K$46)&gt;=4),IF(K45&gt;=QUARTILE(K$2:K$46,3),1,0),0)+IF(AND(ISNUMBER(L45),COUNT(L$2:L$46)&gt;=4),IF(L45&gt;=QUARTILE(L$2:L$46,3),1,0),0)+IF(AND(ISNUMBER(M45),COUNT(M$2:M$46)&gt;=4),IF(M45&gt;=QUARTILE(M$2:M$46,3),1,0),0)+IF(AND(ISNUMBER(N45),COUNT(N$2:N$46)&gt;=4),IF(N45&gt;=QUARTILE(N$2:N$46,3),1,0),0)+IF(AND(ISNUMBER(O45),COUNT(O$2:O$46)&gt;=4),IF(O45&gt;=QUARTILE(O$2:O$46,3),1,0),0)+IF(AND(ISNUMBER(P45),COUNT(P$2:P$46)&gt;=4),IF(P45&gt;=QUARTILE(P$2:P$46,3),1,0),0)+IF(AND(ISNUMBER(Q45),COUNT(Q$2:Q$46)&gt;=4),IF(Q45&gt;=QUARTILE(Q$2:Q$46,3),1,0),0)+IF(AND(ISNUMBER(R45),COUNT(R$2:R$46)&gt;=4),IF(R45&gt;=QUARTILE(R$2:R$46,3),1,0),0)+IF(AND(ISNUMBER(S45),COUNT(S$2:S$46)&gt;=4),IF(S45&gt;=QUARTILE(S$2:S$46,3),1,0),0)+IF(AND(ISNUMBER(T45),COUNT(T$2:T$46)&gt;=4),IF(T45&gt;=QUARTILE(T$2:T$46,3),1,0),0)+IF(AND(ISNUMBER(U45),COUNT(U$2:U$46)&gt;=4),IF(U45&gt;=QUARTILE(U$2:U$46,3),1,0),0)+IF(AND(ISNUMBER(V45),COUNT(V$2:V$46)&gt;=4),IF(V45&gt;=QUARTILE(V$2:V$46,3),1,0),0)+IF(AND(ISNUMBER(W45),COUNT(W$2:W$46)&gt;=4),IF(W45&gt;=QUARTILE(W$2:W$46,3),1,0),0)</f>
        <v/>
      </c>
      <c r="Y45" s="3">
        <f>IF(AND(ISNUMBER(F45),COUNT(F$2:F$46)&gt;=4),IF(F45&lt;=QUARTILE(F$2:F$46,1),1,0),0)+IF(AND(ISNUMBER(G45),COUNT(G$2:G$46)&gt;=4),IF(G45&lt;=QUARTILE(G$2:G$46,1),1,0),0)+IF(AND(ISNUMBER(H45),COUNT(H$2:H$46)&gt;=4),IF(H45&lt;=QUARTILE(H$2:H$46,1),1,0),0)+IF(AND(ISNUMBER(I45),COUNT(I$2:I$46)&gt;=4),IF(I45&lt;=QUARTILE(I$2:I$46,1),1,0),0)+IF(AND(ISNUMBER(J45),COUNT(J$2:J$46)&gt;=4),IF(J45&lt;=QUARTILE(J$2:J$46,1),1,0),0)+IF(AND(ISNUMBER(K45),COUNT(K$2:K$46)&gt;=4),IF(K45&lt;=QUARTILE(K$2:K$46,1),1,0),0)+IF(AND(ISNUMBER(L45),COUNT(L$2:L$46)&gt;=4),IF(L45&lt;=QUARTILE(L$2:L$46,1),1,0),0)+IF(AND(ISNUMBER(M45),COUNT(M$2:M$46)&gt;=4),IF(M45&lt;=QUARTILE(M$2:M$46,1),1,0),0)+IF(AND(ISNUMBER(N45),COUNT(N$2:N$46)&gt;=4),IF(N45&lt;=QUARTILE(N$2:N$46,1),1,0),0)+IF(AND(ISNUMBER(O45),COUNT(O$2:O$46)&gt;=4),IF(O45&lt;=QUARTILE(O$2:O$46,1),1,0),0)+IF(AND(ISNUMBER(P45),COUNT(P$2:P$46)&gt;=4),IF(P45&lt;=QUARTILE(P$2:P$46,1),1,0),0)+IF(AND(ISNUMBER(Q45),COUNT(Q$2:Q$46)&gt;=4),IF(Q45&lt;=QUARTILE(Q$2:Q$46,1),1,0),0)+IF(AND(ISNUMBER(R45),COUNT(R$2:R$46)&gt;=4),IF(R45&lt;=QUARTILE(R$2:R$46,1),1,0),0)+IF(AND(ISNUMBER(S45),COUNT(S$2:S$46)&gt;=4),IF(S45&lt;=QUARTILE(S$2:S$46,1),1,0),0)+IF(AND(ISNUMBER(T45),COUNT(T$2:T$46)&gt;=4),IF(T45&lt;=QUARTILE(T$2:T$46,1),1,0),0)+IF(AND(ISNUMBER(U45),COUNT(U$2:U$46)&gt;=4),IF(U45&lt;=QUARTILE(U$2:U$46,1),1,0),0)+IF(AND(ISNUMBER(V45),COUNT(V$2:V$46)&gt;=4),IF(V45&lt;=QUARTILE(V$2:V$46,1),1,0),0)+IF(AND(ISNUMBER(W45),COUNT(W$2:W$46)&gt;=4),IF(W45&lt;=QUARTILE(W$2:W$46,1),1,0),0)</f>
        <v/>
      </c>
      <c r="Z45" s="3">
        <f>IF(Y45=0,X45,ROUND(X45/Y45,2))</f>
        <v/>
      </c>
      <c r="AA45" s="3">
        <f>IFERROR(IF(VLOOKUP(A45,'Raw Data 3Y'!A:AP,42,FALSE)="","none",VLOOKUP(A45,'Raw Data 3Y'!A:AP,42,FALSE)),"none")</f>
        <v/>
      </c>
      <c r="AB45" s="4" t="inlineStr">
        <is>
          <t>Source</t>
        </is>
      </c>
    </row>
    <row r="46">
      <c r="A46">
        <f>'Raw Data 3Y'!A30</f>
        <v/>
      </c>
      <c r="B46" s="3">
        <f>IFERROR((('Raw Data 3Y'!C30/'Raw Data 3Y'!B30)^(1/'Raw Data 3Y'!D30)-1)*100,"")</f>
        <v/>
      </c>
      <c r="C46" s="3">
        <f>'Raw Data 3Y'!E30</f>
        <v/>
      </c>
      <c r="D46" s="3">
        <f>INT('Raw Data 3Y'!D30)</f>
        <v/>
      </c>
      <c r="E46" s="3">
        <f>IFERROR(AVERAGE(F46:W46),"")</f>
        <v/>
      </c>
      <c r="F46" s="3">
        <f>IFERROR((('Raw Data 3Y'!G30/'Raw Data 3Y'!F30)^(1/3)-1)*100,"")</f>
        <v/>
      </c>
      <c r="G46" s="3">
        <f>IFERROR((('Raw Data 3Y'!I30/'Raw Data 3Y'!H30)^(1/3)-1)*100,"")</f>
        <v/>
      </c>
      <c r="H46" s="3">
        <f>IFERROR((('Raw Data 3Y'!K30/'Raw Data 3Y'!J30)^(1/3)-1)*100,"")</f>
        <v/>
      </c>
      <c r="I46" s="3">
        <f>IFERROR((('Raw Data 3Y'!M30/'Raw Data 3Y'!L30)^(1/3)-1)*100,"")</f>
        <v/>
      </c>
      <c r="J46" s="3">
        <f>IFERROR((('Raw Data 3Y'!O30/'Raw Data 3Y'!N30)^(1/3)-1)*100,"")</f>
        <v/>
      </c>
      <c r="K46" s="3">
        <f>IFERROR((('Raw Data 3Y'!Q30/'Raw Data 3Y'!P30)^(1/3)-1)*100,"")</f>
        <v/>
      </c>
      <c r="L46" s="3">
        <f>IFERROR((('Raw Data 3Y'!S30/'Raw Data 3Y'!R30)^(1/3)-1)*100,"")</f>
        <v/>
      </c>
      <c r="M46" s="3">
        <f>IFERROR((('Raw Data 3Y'!U30/'Raw Data 3Y'!T30)^(1/3)-1)*100,"")</f>
        <v/>
      </c>
      <c r="N46" s="3">
        <f>IFERROR((('Raw Data 3Y'!W30/'Raw Data 3Y'!V30)^(1/3)-1)*100,"")</f>
        <v/>
      </c>
      <c r="O46" s="3">
        <f>IFERROR((('Raw Data 3Y'!Y30/'Raw Data 3Y'!X30)^(1/3)-1)*100,"")</f>
        <v/>
      </c>
      <c r="P46" s="3">
        <f>IFERROR((('Raw Data 3Y'!AA30/'Raw Data 3Y'!Z30)^(1/3)-1)*100,"")</f>
        <v/>
      </c>
      <c r="Q46" s="3">
        <f>IFERROR((('Raw Data 3Y'!AC30/'Raw Data 3Y'!AB30)^(1/3)-1)*100,"")</f>
        <v/>
      </c>
      <c r="R46" s="3">
        <f>IFERROR((('Raw Data 3Y'!AE30/'Raw Data 3Y'!AD30)^(1/3)-1)*100,"")</f>
        <v/>
      </c>
      <c r="S46" s="3">
        <f>IFERROR((('Raw Data 3Y'!AG30/'Raw Data 3Y'!AF30)^(1/3)-1)*100,"")</f>
        <v/>
      </c>
      <c r="T46" s="3">
        <f>IFERROR((('Raw Data 3Y'!AI30/'Raw Data 3Y'!AH30)^(1/3)-1)*100,"")</f>
        <v/>
      </c>
      <c r="U46" s="3">
        <f>IFERROR((('Raw Data 3Y'!AK30/'Raw Data 3Y'!AJ30)^(1/3)-1)*100,"")</f>
        <v/>
      </c>
      <c r="V46" s="3">
        <f>IFERROR((('Raw Data 3Y'!AM30/'Raw Data 3Y'!AL30)^(1/3)-1)*100,"")</f>
        <v/>
      </c>
      <c r="W46" s="3">
        <f>IFERROR((('Raw Data 3Y'!AO30/'Raw Data 3Y'!AN30)^(1/3)-1)*100,"")</f>
        <v/>
      </c>
      <c r="X46" s="3">
        <f>IF(AND(ISNUMBER(F46),COUNT(F$2:F$46)&gt;=4),IF(F46&gt;=QUARTILE(F$2:F$46,3),1,0),0)+IF(AND(ISNUMBER(G46),COUNT(G$2:G$46)&gt;=4),IF(G46&gt;=QUARTILE(G$2:G$46,3),1,0),0)+IF(AND(ISNUMBER(H46),COUNT(H$2:H$46)&gt;=4),IF(H46&gt;=QUARTILE(H$2:H$46,3),1,0),0)+IF(AND(ISNUMBER(I46),COUNT(I$2:I$46)&gt;=4),IF(I46&gt;=QUARTILE(I$2:I$46,3),1,0),0)+IF(AND(ISNUMBER(J46),COUNT(J$2:J$46)&gt;=4),IF(J46&gt;=QUARTILE(J$2:J$46,3),1,0),0)+IF(AND(ISNUMBER(K46),COUNT(K$2:K$46)&gt;=4),IF(K46&gt;=QUARTILE(K$2:K$46,3),1,0),0)+IF(AND(ISNUMBER(L46),COUNT(L$2:L$46)&gt;=4),IF(L46&gt;=QUARTILE(L$2:L$46,3),1,0),0)+IF(AND(ISNUMBER(M46),COUNT(M$2:M$46)&gt;=4),IF(M46&gt;=QUARTILE(M$2:M$46,3),1,0),0)+IF(AND(ISNUMBER(N46),COUNT(N$2:N$46)&gt;=4),IF(N46&gt;=QUARTILE(N$2:N$46,3),1,0),0)+IF(AND(ISNUMBER(O46),COUNT(O$2:O$46)&gt;=4),IF(O46&gt;=QUARTILE(O$2:O$46,3),1,0),0)+IF(AND(ISNUMBER(P46),COUNT(P$2:P$46)&gt;=4),IF(P46&gt;=QUARTILE(P$2:P$46,3),1,0),0)+IF(AND(ISNUMBER(Q46),COUNT(Q$2:Q$46)&gt;=4),IF(Q46&gt;=QUARTILE(Q$2:Q$46,3),1,0),0)+IF(AND(ISNUMBER(R46),COUNT(R$2:R$46)&gt;=4),IF(R46&gt;=QUARTILE(R$2:R$46,3),1,0),0)+IF(AND(ISNUMBER(S46),COUNT(S$2:S$46)&gt;=4),IF(S46&gt;=QUARTILE(S$2:S$46,3),1,0),0)+IF(AND(ISNUMBER(T46),COUNT(T$2:T$46)&gt;=4),IF(T46&gt;=QUARTILE(T$2:T$46,3),1,0),0)+IF(AND(ISNUMBER(U46),COUNT(U$2:U$46)&gt;=4),IF(U46&gt;=QUARTILE(U$2:U$46,3),1,0),0)+IF(AND(ISNUMBER(V46),COUNT(V$2:V$46)&gt;=4),IF(V46&gt;=QUARTILE(V$2:V$46,3),1,0),0)+IF(AND(ISNUMBER(W46),COUNT(W$2:W$46)&gt;=4),IF(W46&gt;=QUARTILE(W$2:W$46,3),1,0),0)</f>
        <v/>
      </c>
      <c r="Y46" s="3">
        <f>IF(AND(ISNUMBER(F46),COUNT(F$2:F$46)&gt;=4),IF(F46&lt;=QUARTILE(F$2:F$46,1),1,0),0)+IF(AND(ISNUMBER(G46),COUNT(G$2:G$46)&gt;=4),IF(G46&lt;=QUARTILE(G$2:G$46,1),1,0),0)+IF(AND(ISNUMBER(H46),COUNT(H$2:H$46)&gt;=4),IF(H46&lt;=QUARTILE(H$2:H$46,1),1,0),0)+IF(AND(ISNUMBER(I46),COUNT(I$2:I$46)&gt;=4),IF(I46&lt;=QUARTILE(I$2:I$46,1),1,0),0)+IF(AND(ISNUMBER(J46),COUNT(J$2:J$46)&gt;=4),IF(J46&lt;=QUARTILE(J$2:J$46,1),1,0),0)+IF(AND(ISNUMBER(K46),COUNT(K$2:K$46)&gt;=4),IF(K46&lt;=QUARTILE(K$2:K$46,1),1,0),0)+IF(AND(ISNUMBER(L46),COUNT(L$2:L$46)&gt;=4),IF(L46&lt;=QUARTILE(L$2:L$46,1),1,0),0)+IF(AND(ISNUMBER(M46),COUNT(M$2:M$46)&gt;=4),IF(M46&lt;=QUARTILE(M$2:M$46,1),1,0),0)+IF(AND(ISNUMBER(N46),COUNT(N$2:N$46)&gt;=4),IF(N46&lt;=QUARTILE(N$2:N$46,1),1,0),0)+IF(AND(ISNUMBER(O46),COUNT(O$2:O$46)&gt;=4),IF(O46&lt;=QUARTILE(O$2:O$46,1),1,0),0)+IF(AND(ISNUMBER(P46),COUNT(P$2:P$46)&gt;=4),IF(P46&lt;=QUARTILE(P$2:P$46,1),1,0),0)+IF(AND(ISNUMBER(Q46),COUNT(Q$2:Q$46)&gt;=4),IF(Q46&lt;=QUARTILE(Q$2:Q$46,1),1,0),0)+IF(AND(ISNUMBER(R46),COUNT(R$2:R$46)&gt;=4),IF(R46&lt;=QUARTILE(R$2:R$46,1),1,0),0)+IF(AND(ISNUMBER(S46),COUNT(S$2:S$46)&gt;=4),IF(S46&lt;=QUARTILE(S$2:S$46,1),1,0),0)+IF(AND(ISNUMBER(T46),COUNT(T$2:T$46)&gt;=4),IF(T46&lt;=QUARTILE(T$2:T$46,1),1,0),0)+IF(AND(ISNUMBER(U46),COUNT(U$2:U$46)&gt;=4),IF(U46&lt;=QUARTILE(U$2:U$46,1),1,0),0)+IF(AND(ISNUMBER(V46),COUNT(V$2:V$46)&gt;=4),IF(V46&lt;=QUARTILE(V$2:V$46,1),1,0),0)+IF(AND(ISNUMBER(W46),COUNT(W$2:W$46)&gt;=4),IF(W46&lt;=QUARTILE(W$2:W$46,1),1,0),0)</f>
        <v/>
      </c>
      <c r="Z46" s="3">
        <f>IF(Y46=0,X46,ROUND(X46/Y46,2))</f>
        <v/>
      </c>
      <c r="AA46" s="3">
        <f>IFERROR(IF(VLOOKUP(A46,'Raw Data 3Y'!A:AP,42,FALSE)="","none",VLOOKUP(A46,'Raw Data 3Y'!A:AP,42,FALSE)),"none")</f>
        <v/>
      </c>
      <c r="AB46" s="4" t="inlineStr">
        <is>
          <t>Source</t>
        </is>
      </c>
    </row>
  </sheetData>
  <autoFilter ref="A1:AA46">
    <sortState ref="A2:AA46">
      <sortCondition descending="1" ref="Z1:Z46"/>
    </sortState>
  </autoFilter>
  <hyperlinks>
    <hyperlink xmlns:r="http://schemas.openxmlformats.org/officeDocument/2006/relationships" ref="AB2" r:id="rId1"/>
    <hyperlink xmlns:r="http://schemas.openxmlformats.org/officeDocument/2006/relationships" ref="AB3" r:id="rId2"/>
    <hyperlink xmlns:r="http://schemas.openxmlformats.org/officeDocument/2006/relationships" ref="AB4" r:id="rId3"/>
    <hyperlink xmlns:r="http://schemas.openxmlformats.org/officeDocument/2006/relationships" ref="AB5" r:id="rId4"/>
    <hyperlink xmlns:r="http://schemas.openxmlformats.org/officeDocument/2006/relationships" ref="AB6" r:id="rId5"/>
    <hyperlink xmlns:r="http://schemas.openxmlformats.org/officeDocument/2006/relationships" ref="AB7" r:id="rId6"/>
    <hyperlink xmlns:r="http://schemas.openxmlformats.org/officeDocument/2006/relationships" ref="AB8" r:id="rId7"/>
    <hyperlink xmlns:r="http://schemas.openxmlformats.org/officeDocument/2006/relationships" ref="AB9" r:id="rId8"/>
    <hyperlink xmlns:r="http://schemas.openxmlformats.org/officeDocument/2006/relationships" ref="AB10" r:id="rId9"/>
    <hyperlink xmlns:r="http://schemas.openxmlformats.org/officeDocument/2006/relationships" ref="AB11" r:id="rId10"/>
    <hyperlink xmlns:r="http://schemas.openxmlformats.org/officeDocument/2006/relationships" ref="AB12" r:id="rId11"/>
    <hyperlink xmlns:r="http://schemas.openxmlformats.org/officeDocument/2006/relationships" ref="AB13" r:id="rId12"/>
    <hyperlink xmlns:r="http://schemas.openxmlformats.org/officeDocument/2006/relationships" ref="AB14" r:id="rId13"/>
    <hyperlink xmlns:r="http://schemas.openxmlformats.org/officeDocument/2006/relationships" ref="AB15" r:id="rId14"/>
    <hyperlink xmlns:r="http://schemas.openxmlformats.org/officeDocument/2006/relationships" ref="AB16" r:id="rId15"/>
    <hyperlink xmlns:r="http://schemas.openxmlformats.org/officeDocument/2006/relationships" ref="AB17" r:id="rId16"/>
    <hyperlink xmlns:r="http://schemas.openxmlformats.org/officeDocument/2006/relationships" ref="AB18" r:id="rId17"/>
    <hyperlink xmlns:r="http://schemas.openxmlformats.org/officeDocument/2006/relationships" ref="AB19" r:id="rId18"/>
    <hyperlink xmlns:r="http://schemas.openxmlformats.org/officeDocument/2006/relationships" ref="AB20" r:id="rId19"/>
    <hyperlink xmlns:r="http://schemas.openxmlformats.org/officeDocument/2006/relationships" ref="AB21" r:id="rId20"/>
    <hyperlink xmlns:r="http://schemas.openxmlformats.org/officeDocument/2006/relationships" ref="AB22" r:id="rId21"/>
    <hyperlink xmlns:r="http://schemas.openxmlformats.org/officeDocument/2006/relationships" ref="AB23" r:id="rId22"/>
    <hyperlink xmlns:r="http://schemas.openxmlformats.org/officeDocument/2006/relationships" ref="AB24" r:id="rId23"/>
    <hyperlink xmlns:r="http://schemas.openxmlformats.org/officeDocument/2006/relationships" ref="AB25" r:id="rId24"/>
    <hyperlink xmlns:r="http://schemas.openxmlformats.org/officeDocument/2006/relationships" ref="AB26" r:id="rId25"/>
    <hyperlink xmlns:r="http://schemas.openxmlformats.org/officeDocument/2006/relationships" ref="AB27" r:id="rId26"/>
    <hyperlink xmlns:r="http://schemas.openxmlformats.org/officeDocument/2006/relationships" ref="AB28" r:id="rId27"/>
    <hyperlink xmlns:r="http://schemas.openxmlformats.org/officeDocument/2006/relationships" ref="AB29" r:id="rId28"/>
    <hyperlink xmlns:r="http://schemas.openxmlformats.org/officeDocument/2006/relationships" ref="AB30" r:id="rId29"/>
    <hyperlink xmlns:r="http://schemas.openxmlformats.org/officeDocument/2006/relationships" ref="AB31" r:id="rId30"/>
    <hyperlink xmlns:r="http://schemas.openxmlformats.org/officeDocument/2006/relationships" ref="AB32" r:id="rId31"/>
    <hyperlink xmlns:r="http://schemas.openxmlformats.org/officeDocument/2006/relationships" ref="AB33" r:id="rId32"/>
    <hyperlink xmlns:r="http://schemas.openxmlformats.org/officeDocument/2006/relationships" ref="AB34" r:id="rId33"/>
    <hyperlink xmlns:r="http://schemas.openxmlformats.org/officeDocument/2006/relationships" ref="AB35" r:id="rId34"/>
    <hyperlink xmlns:r="http://schemas.openxmlformats.org/officeDocument/2006/relationships" ref="AB36" r:id="rId35"/>
    <hyperlink xmlns:r="http://schemas.openxmlformats.org/officeDocument/2006/relationships" ref="AB37" r:id="rId36"/>
    <hyperlink xmlns:r="http://schemas.openxmlformats.org/officeDocument/2006/relationships" ref="AB38" r:id="rId37"/>
    <hyperlink xmlns:r="http://schemas.openxmlformats.org/officeDocument/2006/relationships" ref="AB39" r:id="rId38"/>
    <hyperlink xmlns:r="http://schemas.openxmlformats.org/officeDocument/2006/relationships" ref="AB40" r:id="rId39"/>
    <hyperlink xmlns:r="http://schemas.openxmlformats.org/officeDocument/2006/relationships" ref="AB41" r:id="rId40"/>
    <hyperlink xmlns:r="http://schemas.openxmlformats.org/officeDocument/2006/relationships" ref="AB42" r:id="rId41"/>
    <hyperlink xmlns:r="http://schemas.openxmlformats.org/officeDocument/2006/relationships" ref="AB43" r:id="rId42"/>
    <hyperlink xmlns:r="http://schemas.openxmlformats.org/officeDocument/2006/relationships" ref="AB44" r:id="rId43"/>
    <hyperlink xmlns:r="http://schemas.openxmlformats.org/officeDocument/2006/relationships" ref="AB45" r:id="rId44"/>
    <hyperlink xmlns:r="http://schemas.openxmlformats.org/officeDocument/2006/relationships" ref="AB46" r:id="rId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46"/>
  <sheetViews>
    <sheetView workbookViewId="0">
      <pane xSplit="1" ySplit="1" topLeftCell="B24" activePane="bottomRight" state="frozen"/>
      <selection pane="topRight" activeCell="A1" sqref="A1"/>
      <selection pane="bottomLeft" activeCell="A1" sqref="A1"/>
      <selection pane="bottomRight" activeCell="A1" sqref="A1"/>
    </sheetView>
  </sheetViews>
  <sheetFormatPr baseColWidth="8" defaultRowHeight="14.5"/>
  <cols>
    <col width="45" customWidth="1" min="1" max="1"/>
    <col width="60" customWidth="1" min="38" max="38"/>
    <col width="72" customWidth="1" min="39" max="39"/>
  </cols>
  <sheetData>
    <row r="1" ht="29" customHeight="1">
      <c r="A1" s="1" t="inlineStr">
        <is>
          <t>Index Name</t>
        </is>
      </c>
      <c r="B1" s="1" t="inlineStr">
        <is>
          <t>First TRI</t>
        </is>
      </c>
      <c r="C1" s="1" t="inlineStr">
        <is>
          <t>Last TRI</t>
        </is>
      </c>
      <c r="D1" s="1" t="inlineStr">
        <is>
          <t>Years</t>
        </is>
      </c>
      <c r="E1" s="1" t="inlineStr">
        <is>
          <t>Std Dev (%)</t>
        </is>
      </c>
      <c r="F1" s="1" t="inlineStr">
        <is>
          <t>P1 Start TRI</t>
        </is>
      </c>
      <c r="G1" s="1" t="inlineStr">
        <is>
          <t>P1 End TRI</t>
        </is>
      </c>
      <c r="H1" s="1" t="inlineStr">
        <is>
          <t>P2 Start TRI</t>
        </is>
      </c>
      <c r="I1" s="1" t="inlineStr">
        <is>
          <t>P2 End TRI</t>
        </is>
      </c>
      <c r="J1" s="1" t="inlineStr">
        <is>
          <t>P3 Start TRI</t>
        </is>
      </c>
      <c r="K1" s="1" t="inlineStr">
        <is>
          <t>P3 End TRI</t>
        </is>
      </c>
      <c r="L1" s="1" t="inlineStr">
        <is>
          <t>P4 Start TRI</t>
        </is>
      </c>
      <c r="M1" s="1" t="inlineStr">
        <is>
          <t>P4 End TRI</t>
        </is>
      </c>
      <c r="N1" s="1" t="inlineStr">
        <is>
          <t>P5 Start TRI</t>
        </is>
      </c>
      <c r="O1" s="1" t="inlineStr">
        <is>
          <t>P5 End TRI</t>
        </is>
      </c>
      <c r="P1" s="1" t="inlineStr">
        <is>
          <t>P6 Start TRI</t>
        </is>
      </c>
      <c r="Q1" s="1" t="inlineStr">
        <is>
          <t>P6 End TRI</t>
        </is>
      </c>
      <c r="R1" s="1" t="inlineStr">
        <is>
          <t>P7 Start TRI</t>
        </is>
      </c>
      <c r="S1" s="1" t="inlineStr">
        <is>
          <t>P7 End TRI</t>
        </is>
      </c>
      <c r="T1" s="1" t="inlineStr">
        <is>
          <t>P8 Start TRI</t>
        </is>
      </c>
      <c r="U1" s="1" t="inlineStr">
        <is>
          <t>P8 End TRI</t>
        </is>
      </c>
      <c r="V1" s="1" t="inlineStr">
        <is>
          <t>P9 Start TRI</t>
        </is>
      </c>
      <c r="W1" s="1" t="inlineStr">
        <is>
          <t>P9 End TRI</t>
        </is>
      </c>
      <c r="X1" s="1" t="inlineStr">
        <is>
          <t>P10 Start TRI</t>
        </is>
      </c>
      <c r="Y1" s="1" t="inlineStr">
        <is>
          <t>P10 End TRI</t>
        </is>
      </c>
      <c r="Z1" s="1" t="inlineStr">
        <is>
          <t>P11 Start TRI</t>
        </is>
      </c>
      <c r="AA1" s="1" t="inlineStr">
        <is>
          <t>P11 End TRI</t>
        </is>
      </c>
      <c r="AB1" s="1" t="inlineStr">
        <is>
          <t>P12 Start TRI</t>
        </is>
      </c>
      <c r="AC1" s="1" t="inlineStr">
        <is>
          <t>P12 End TRI</t>
        </is>
      </c>
      <c r="AD1" s="1" t="inlineStr">
        <is>
          <t>P13 Start TRI</t>
        </is>
      </c>
      <c r="AE1" s="1" t="inlineStr">
        <is>
          <t>P13 End TRI</t>
        </is>
      </c>
      <c r="AF1" s="1" t="inlineStr">
        <is>
          <t>P14 Start TRI</t>
        </is>
      </c>
      <c r="AG1" s="1" t="inlineStr">
        <is>
          <t>P14 End TRI</t>
        </is>
      </c>
      <c r="AH1" s="1" t="inlineStr">
        <is>
          <t>P15 Start TRI</t>
        </is>
      </c>
      <c r="AI1" s="1" t="inlineStr">
        <is>
          <t>P15 End TRI</t>
        </is>
      </c>
      <c r="AJ1" s="1" t="inlineStr">
        <is>
          <t>P16 Start TRI</t>
        </is>
      </c>
      <c r="AK1" s="1" t="inlineStr">
        <is>
          <t>P16 End TRI</t>
        </is>
      </c>
      <c r="AL1" s="1" t="inlineStr">
        <is>
          <t>AMCs</t>
        </is>
      </c>
      <c r="AM1" s="1" t="inlineStr">
        <is>
          <t>Source</t>
        </is>
      </c>
    </row>
    <row r="2">
      <c r="A2" t="inlineStr">
        <is>
          <t>NIFTY 50</t>
        </is>
      </c>
      <c r="B2" t="n">
        <v>2406.95</v>
      </c>
      <c r="C2" t="n">
        <v>33655.43</v>
      </c>
      <c r="D2" t="n">
        <v>20.9938</v>
      </c>
      <c r="E2" t="n">
        <v>20.83</v>
      </c>
      <c r="F2" t="n">
        <v>2406.95</v>
      </c>
      <c r="G2" t="n">
        <v>6521.55</v>
      </c>
      <c r="H2" t="n">
        <v>4028.82</v>
      </c>
      <c r="I2" t="n">
        <v>7327.83</v>
      </c>
      <c r="J2" t="n">
        <v>4379.37</v>
      </c>
      <c r="K2" t="n">
        <v>6728.46</v>
      </c>
      <c r="L2" t="n">
        <v>5769.05</v>
      </c>
      <c r="M2" t="n">
        <v>7343.48</v>
      </c>
      <c r="N2" t="n">
        <v>3769.02</v>
      </c>
      <c r="O2" t="n">
        <v>8739.91</v>
      </c>
      <c r="P2" t="n">
        <v>6573</v>
      </c>
      <c r="Q2" t="n">
        <v>11201.99</v>
      </c>
      <c r="R2" t="n">
        <v>7318.19</v>
      </c>
      <c r="S2" t="n">
        <v>10325.5</v>
      </c>
      <c r="T2" t="n">
        <v>6756.86</v>
      </c>
      <c r="U2" t="n">
        <v>12406.69</v>
      </c>
      <c r="V2" t="n">
        <v>7343.48</v>
      </c>
      <c r="W2" t="n">
        <v>14000.07</v>
      </c>
      <c r="X2" t="n">
        <v>8761.860000000001</v>
      </c>
      <c r="Y2" t="n">
        <v>16208.94</v>
      </c>
      <c r="Z2" t="n">
        <v>11327.63</v>
      </c>
      <c r="AA2" t="n">
        <v>12105.66</v>
      </c>
      <c r="AB2" t="n">
        <v>10291.69</v>
      </c>
      <c r="AC2" t="n">
        <v>20886.52</v>
      </c>
      <c r="AD2" t="n">
        <v>12406.69</v>
      </c>
      <c r="AE2" t="n">
        <v>25118.14</v>
      </c>
      <c r="AF2" t="n">
        <v>14000.07</v>
      </c>
      <c r="AG2" t="n">
        <v>25266.06</v>
      </c>
      <c r="AH2" t="n">
        <v>16208.94</v>
      </c>
      <c r="AI2" t="n">
        <v>33066.13</v>
      </c>
      <c r="AJ2" t="n">
        <v>11621.35</v>
      </c>
      <c r="AK2" t="n">
        <v>34527.01</v>
      </c>
      <c r="AL2" t="inlineStr">
        <is>
          <t>Aditya Birla Sun Life Mutual Fund, Axis Mutual Fund, Bandhan Mutual Fund, Baroda BNP Paribas Mutual Fund, DSP Mutual Fund, Edelweiss Mutual Fund, Franklin Templeton Mutual Fund, HDFC Mutual Fund, HSBC Mutual Fund, ICICI Prudential Mutual Fund, Kotak Mahindra Mutual Fund, LIC Mutual Fund, Mirae Asset Mutual Fund, Motilal Oswal Mutual Fund, Navi Mutual Fund, Nippon India Mutual Fund, SBI Mutual Fund, Tata Mutual Fund, Taurus Mutual Fund, UTI Mutual Fund</t>
        </is>
      </c>
      <c r="AM2" t="inlineStr">
        <is>
          <t>https://www.niftyindices.com/indices/equity/broad-based-indices/NIFTY--50</t>
        </is>
      </c>
    </row>
    <row r="3">
      <c r="A3" t="inlineStr">
        <is>
          <t>NIFTY NEXT 50</t>
        </is>
      </c>
      <c r="B3" t="n">
        <v>4957.2</v>
      </c>
      <c r="C3" t="n">
        <v>87002.31</v>
      </c>
      <c r="D3" t="n">
        <v>20.9938</v>
      </c>
      <c r="E3" t="n">
        <v>22.89</v>
      </c>
      <c r="F3" t="n">
        <v>4957.2</v>
      </c>
      <c r="G3" t="n">
        <v>13031.01</v>
      </c>
      <c r="H3" t="n">
        <v>7412.75</v>
      </c>
      <c r="I3" t="n">
        <v>13783.59</v>
      </c>
      <c r="J3" t="n">
        <v>7729.7</v>
      </c>
      <c r="K3" t="n">
        <v>12923.81</v>
      </c>
      <c r="L3" t="n">
        <v>9341.23</v>
      </c>
      <c r="M3" t="n">
        <v>14170.03</v>
      </c>
      <c r="N3" t="n">
        <v>5257.9</v>
      </c>
      <c r="O3" t="n">
        <v>17112.8</v>
      </c>
      <c r="P3" t="n">
        <v>13098.26</v>
      </c>
      <c r="Q3" t="n">
        <v>24919.87</v>
      </c>
      <c r="R3" t="n">
        <v>13883.06</v>
      </c>
      <c r="S3" t="n">
        <v>24368.02</v>
      </c>
      <c r="T3" t="n">
        <v>13028.02</v>
      </c>
      <c r="U3" t="n">
        <v>33190.87</v>
      </c>
      <c r="V3" t="n">
        <v>14170.03</v>
      </c>
      <c r="W3" t="n">
        <v>39036.24</v>
      </c>
      <c r="X3" t="n">
        <v>17056.76</v>
      </c>
      <c r="Y3" t="n">
        <v>38414.93</v>
      </c>
      <c r="Z3" t="n">
        <v>25166.74</v>
      </c>
      <c r="AA3" t="n">
        <v>28998.12</v>
      </c>
      <c r="AB3" t="n">
        <v>24374.11</v>
      </c>
      <c r="AC3" t="n">
        <v>47248.21</v>
      </c>
      <c r="AD3" t="n">
        <v>33190.87</v>
      </c>
      <c r="AE3" t="n">
        <v>57445.19</v>
      </c>
      <c r="AF3" t="n">
        <v>39036.24</v>
      </c>
      <c r="AG3" t="n">
        <v>53231.02</v>
      </c>
      <c r="AH3" t="n">
        <v>38414.93</v>
      </c>
      <c r="AI3" t="n">
        <v>87345.98</v>
      </c>
      <c r="AJ3" t="n">
        <v>28377.76</v>
      </c>
      <c r="AK3" t="n">
        <v>89043.92</v>
      </c>
      <c r="AL3" t="inlineStr">
        <is>
          <t>Aditya Birla Sun Life Mutual Fund, Axis Mutual Fund, DSP Mutual Fund, Edelweiss Mutual Fund, HDFC Mutual Fund, HSBC Mutual Fund, ICICI Prudential Mutual Fund, Kotak Mahindra Mutual Fund, LIC Mutual Fund, Motilal Oswal Mutual Fund, Navi Mutual Fund, SBI Mutual Fund, UTI Mutual Fund</t>
        </is>
      </c>
      <c r="AM3" t="inlineStr">
        <is>
          <t>https://www.niftyindices.com/indices/equity/broad-based-indices/NIFTY-Next-50</t>
        </is>
      </c>
    </row>
    <row r="4">
      <c r="A4" t="inlineStr">
        <is>
          <t>NIFTY SMALLCAP 50</t>
        </is>
      </c>
      <c r="B4" t="n">
        <v>1000</v>
      </c>
      <c r="C4" t="n">
        <v>9332.540000000001</v>
      </c>
      <c r="D4" t="n">
        <v>20.9938</v>
      </c>
      <c r="E4" t="n">
        <v>25.13</v>
      </c>
      <c r="F4" t="n">
        <v>1000</v>
      </c>
      <c r="G4" t="n">
        <v>2542.74</v>
      </c>
      <c r="H4" t="n">
        <v>1694.27</v>
      </c>
      <c r="I4" t="n">
        <v>2352.08</v>
      </c>
      <c r="J4" t="n">
        <v>1797.3</v>
      </c>
      <c r="K4" t="n">
        <v>2054.18</v>
      </c>
      <c r="L4" t="n">
        <v>2523.48</v>
      </c>
      <c r="M4" t="n">
        <v>1868.02</v>
      </c>
      <c r="N4" t="n">
        <v>1088.87</v>
      </c>
      <c r="O4" t="n">
        <v>2253.8</v>
      </c>
      <c r="P4" t="n">
        <v>2583.92</v>
      </c>
      <c r="Q4" t="n">
        <v>3514.44</v>
      </c>
      <c r="R4" t="n">
        <v>2398.3</v>
      </c>
      <c r="S4" t="n">
        <v>3041.78</v>
      </c>
      <c r="T4" t="n">
        <v>2075.48</v>
      </c>
      <c r="U4" t="n">
        <v>4418.79</v>
      </c>
      <c r="V4" t="n">
        <v>1868.02</v>
      </c>
      <c r="W4" t="n">
        <v>4738.62</v>
      </c>
      <c r="X4" t="n">
        <v>2257.54</v>
      </c>
      <c r="Y4" t="n">
        <v>3862.09</v>
      </c>
      <c r="Z4" t="n">
        <v>3593.45</v>
      </c>
      <c r="AA4" t="n">
        <v>2077.61</v>
      </c>
      <c r="AB4" t="n">
        <v>3089.9</v>
      </c>
      <c r="AC4" t="n">
        <v>4868.87</v>
      </c>
      <c r="AD4" t="n">
        <v>4418.79</v>
      </c>
      <c r="AE4" t="n">
        <v>5819.53</v>
      </c>
      <c r="AF4" t="n">
        <v>4738.62</v>
      </c>
      <c r="AG4" t="n">
        <v>5015.03</v>
      </c>
      <c r="AH4" t="n">
        <v>3862.09</v>
      </c>
      <c r="AI4" t="n">
        <v>8909.440000000001</v>
      </c>
      <c r="AJ4" t="n">
        <v>2028.59</v>
      </c>
      <c r="AK4" t="n">
        <v>9505.98</v>
      </c>
      <c r="AL4" t="inlineStr">
        <is>
          <t>Aditya Birla Sun Life Mutual Fund, Axis Mutual Fund, Kotak Mahindra Mutual Fund</t>
        </is>
      </c>
      <c r="AM4" t="inlineStr">
        <is>
          <t>https://www.niftyindices.com/indices/equity/broad-based-indices/niftysmallcap50</t>
        </is>
      </c>
    </row>
    <row r="5">
      <c r="A5" t="inlineStr">
        <is>
          <t>NIFTY MIDCAP 150</t>
        </is>
      </c>
      <c r="B5" t="n">
        <v>1000</v>
      </c>
      <c r="C5" t="n">
        <v>24753.21</v>
      </c>
      <c r="D5" t="n">
        <v>20.9938</v>
      </c>
      <c r="E5" t="n">
        <v>20.9</v>
      </c>
      <c r="F5" t="n">
        <v>1000</v>
      </c>
      <c r="G5" t="n">
        <v>2549.07</v>
      </c>
      <c r="H5" t="n">
        <v>1747.55</v>
      </c>
      <c r="I5" t="n">
        <v>2670.01</v>
      </c>
      <c r="J5" t="n">
        <v>1673.19</v>
      </c>
      <c r="K5" t="n">
        <v>2546.99</v>
      </c>
      <c r="L5" t="n">
        <v>2087.33</v>
      </c>
      <c r="M5" t="n">
        <v>2688.28</v>
      </c>
      <c r="N5" t="n">
        <v>1097.34</v>
      </c>
      <c r="O5" t="n">
        <v>3140.17</v>
      </c>
      <c r="P5" t="n">
        <v>2576.84</v>
      </c>
      <c r="Q5" t="n">
        <v>5015.68</v>
      </c>
      <c r="R5" t="n">
        <v>2706.96</v>
      </c>
      <c r="S5" t="n">
        <v>4931.69</v>
      </c>
      <c r="T5" t="n">
        <v>2571.54</v>
      </c>
      <c r="U5" t="n">
        <v>6766.76</v>
      </c>
      <c r="V5" t="n">
        <v>2688.28</v>
      </c>
      <c r="W5" t="n">
        <v>8017.18</v>
      </c>
      <c r="X5" t="n">
        <v>3134.34</v>
      </c>
      <c r="Y5" t="n">
        <v>7865.64</v>
      </c>
      <c r="Z5" t="n">
        <v>5076.14</v>
      </c>
      <c r="AA5" t="n">
        <v>5483.52</v>
      </c>
      <c r="AB5" t="n">
        <v>4956.96</v>
      </c>
      <c r="AC5" t="n">
        <v>11052.87</v>
      </c>
      <c r="AD5" t="n">
        <v>6766.76</v>
      </c>
      <c r="AE5" t="n">
        <v>13821.4</v>
      </c>
      <c r="AF5" t="n">
        <v>8017.18</v>
      </c>
      <c r="AG5" t="n">
        <v>14203.8</v>
      </c>
      <c r="AH5" t="n">
        <v>7865.64</v>
      </c>
      <c r="AI5" t="n">
        <v>22777.89</v>
      </c>
      <c r="AJ5" t="n">
        <v>5383.93</v>
      </c>
      <c r="AK5" t="n">
        <v>23964.87</v>
      </c>
      <c r="AL5" t="inlineStr">
        <is>
          <t>Aditya Birla Sun Life Mutual Fund, Bandhan Mutual Fund, Baroda BNP Paribas Mutual Fund, HDFC Mutual Fund, ICICI Prudential Mutual Fund, Motilal Oswal Mutual Fund, Navi Mutual Fund, Nippon India Mutual Fund, SBI Mutual Fund, UTI Mutual Fund</t>
        </is>
      </c>
      <c r="AM5" t="inlineStr">
        <is>
          <t>https://www.niftyindices.com/indices/equity/broad-based-indices/nifty-midcap-150</t>
        </is>
      </c>
    </row>
    <row r="6">
      <c r="A6" t="inlineStr">
        <is>
          <t>NIFTY50 EQUAL WEIGHT</t>
        </is>
      </c>
      <c r="B6" t="n">
        <v>3130.41</v>
      </c>
      <c r="C6" t="n">
        <v>50846.14</v>
      </c>
      <c r="D6" t="n">
        <v>20.9938</v>
      </c>
      <c r="E6" t="n">
        <v>20.81</v>
      </c>
      <c r="F6" t="n">
        <v>3130.41</v>
      </c>
      <c r="G6" t="n">
        <v>9653.98</v>
      </c>
      <c r="H6" t="n">
        <v>5467.38</v>
      </c>
      <c r="I6" t="n">
        <v>10429.35</v>
      </c>
      <c r="J6" t="n">
        <v>5487.03</v>
      </c>
      <c r="K6" t="n">
        <v>9954.07</v>
      </c>
      <c r="L6" t="n">
        <v>7585.04</v>
      </c>
      <c r="M6" t="n">
        <v>10147.56</v>
      </c>
      <c r="N6" t="n">
        <v>4806.96</v>
      </c>
      <c r="O6" t="n">
        <v>12144.71</v>
      </c>
      <c r="P6" t="n">
        <v>9694.48</v>
      </c>
      <c r="Q6" t="n">
        <v>15594.28</v>
      </c>
      <c r="R6" t="n">
        <v>10473.84</v>
      </c>
      <c r="S6" t="n">
        <v>14116.54</v>
      </c>
      <c r="T6" t="n">
        <v>10022.18</v>
      </c>
      <c r="U6" t="n">
        <v>17391.88</v>
      </c>
      <c r="V6" t="n">
        <v>10147.56</v>
      </c>
      <c r="W6" t="n">
        <v>18792.24</v>
      </c>
      <c r="X6" t="n">
        <v>12163.69</v>
      </c>
      <c r="Y6" t="n">
        <v>20117.03</v>
      </c>
      <c r="Z6" t="n">
        <v>15778.95</v>
      </c>
      <c r="AA6" t="n">
        <v>13717.68</v>
      </c>
      <c r="AB6" t="n">
        <v>14057.11</v>
      </c>
      <c r="AC6" t="n">
        <v>25886.34</v>
      </c>
      <c r="AD6" t="n">
        <v>17391.88</v>
      </c>
      <c r="AE6" t="n">
        <v>32000.07</v>
      </c>
      <c r="AF6" t="n">
        <v>18792.24</v>
      </c>
      <c r="AG6" t="n">
        <v>32697.24</v>
      </c>
      <c r="AH6" t="n">
        <v>20117.03</v>
      </c>
      <c r="AI6" t="n">
        <v>47716.78</v>
      </c>
      <c r="AJ6" t="n">
        <v>13264.76</v>
      </c>
      <c r="AK6" t="n">
        <v>49403.22</v>
      </c>
      <c r="AL6" t="inlineStr">
        <is>
          <t>Aditya Birla Sun Life Mutual Fund, DSP Mutual Fund, HDFC Mutual Fund, ICICI Prudential Mutual Fund, Kotak Mahindra Mutual Fund, SBI Mutual Fund, UTI Mutual Fund</t>
        </is>
      </c>
      <c r="AM6" t="inlineStr">
        <is>
          <t>https://www.niftyindices.com/indices/equity/strategy-indices/nifty50-equal-weight</t>
        </is>
      </c>
    </row>
    <row r="7">
      <c r="A7" t="inlineStr">
        <is>
          <t>NIFTY 100</t>
        </is>
      </c>
      <c r="B7" t="n">
        <v>2158.39</v>
      </c>
      <c r="C7" t="n">
        <v>31501.34</v>
      </c>
      <c r="D7" t="n">
        <v>20.9938</v>
      </c>
      <c r="E7" t="n">
        <v>20.77</v>
      </c>
      <c r="F7" t="n">
        <v>2158.39</v>
      </c>
      <c r="G7" t="n">
        <v>5868.77</v>
      </c>
      <c r="H7" t="n">
        <v>3562.96</v>
      </c>
      <c r="I7" t="n">
        <v>6538.02</v>
      </c>
      <c r="J7" t="n">
        <v>3850.12</v>
      </c>
      <c r="K7" t="n">
        <v>6027.9</v>
      </c>
      <c r="L7" t="n">
        <v>5008.53</v>
      </c>
      <c r="M7" t="n">
        <v>6588.79</v>
      </c>
      <c r="N7" t="n">
        <v>3215.47</v>
      </c>
      <c r="O7" t="n">
        <v>7866.04</v>
      </c>
      <c r="P7" t="n">
        <v>5912.5</v>
      </c>
      <c r="Q7" t="n">
        <v>10285.91</v>
      </c>
      <c r="R7" t="n">
        <v>6537.94</v>
      </c>
      <c r="S7" t="n">
        <v>9577.129999999999</v>
      </c>
      <c r="T7" t="n">
        <v>6057.04</v>
      </c>
      <c r="U7" t="n">
        <v>11741.07</v>
      </c>
      <c r="V7" t="n">
        <v>6588.79</v>
      </c>
      <c r="W7" t="n">
        <v>13323.87</v>
      </c>
      <c r="X7" t="n">
        <v>7879.43</v>
      </c>
      <c r="Y7" t="n">
        <v>15070.64</v>
      </c>
      <c r="Z7" t="n">
        <v>10399.2</v>
      </c>
      <c r="AA7" t="n">
        <v>11271.15</v>
      </c>
      <c r="AB7" t="n">
        <v>9550.870000000001</v>
      </c>
      <c r="AC7" t="n">
        <v>19294.06</v>
      </c>
      <c r="AD7" t="n">
        <v>11741.07</v>
      </c>
      <c r="AE7" t="n">
        <v>23273.69</v>
      </c>
      <c r="AF7" t="n">
        <v>13323.87</v>
      </c>
      <c r="AG7" t="n">
        <v>22905.08</v>
      </c>
      <c r="AH7" t="n">
        <v>15070.64</v>
      </c>
      <c r="AI7" t="n">
        <v>31124.63</v>
      </c>
      <c r="AJ7" t="n">
        <v>10849.01</v>
      </c>
      <c r="AK7" t="n">
        <v>32302.55</v>
      </c>
      <c r="AL7" t="inlineStr">
        <is>
          <t>Axis Mutual Fund, Bandhan Mutual Fund, HDFC Mutual Fund</t>
        </is>
      </c>
      <c r="AM7" t="inlineStr">
        <is>
          <t>https://www.niftyindices.com/indices/equity/broad-based-indices/nifty-100</t>
        </is>
      </c>
    </row>
    <row r="8">
      <c r="A8" t="inlineStr">
        <is>
          <t>NIFTY500 VALUE 50</t>
        </is>
      </c>
      <c r="B8" t="n">
        <v>1000</v>
      </c>
      <c r="C8" t="n">
        <v>25278.73</v>
      </c>
      <c r="D8" t="n">
        <v>20.9938</v>
      </c>
      <c r="E8" t="n">
        <v>25.76</v>
      </c>
      <c r="F8" t="n">
        <v>1000</v>
      </c>
      <c r="G8" t="n">
        <v>3119.05</v>
      </c>
      <c r="H8" t="n">
        <v>1373.57</v>
      </c>
      <c r="I8" t="n">
        <v>3511.15</v>
      </c>
      <c r="J8" t="n">
        <v>1365.18</v>
      </c>
      <c r="K8" t="n">
        <v>3256.21</v>
      </c>
      <c r="L8" t="n">
        <v>1903.2</v>
      </c>
      <c r="M8" t="n">
        <v>2675.91</v>
      </c>
      <c r="N8" t="n">
        <v>1213.72</v>
      </c>
      <c r="O8" t="n">
        <v>3190.91</v>
      </c>
      <c r="P8" t="n">
        <v>3137.35</v>
      </c>
      <c r="Q8" t="n">
        <v>4887.63</v>
      </c>
      <c r="R8" t="n">
        <v>3554.89</v>
      </c>
      <c r="S8" t="n">
        <v>4450.96</v>
      </c>
      <c r="T8" t="n">
        <v>3276.44</v>
      </c>
      <c r="U8" t="n">
        <v>7190.09</v>
      </c>
      <c r="V8" t="n">
        <v>2675.91</v>
      </c>
      <c r="W8" t="n">
        <v>7315.78</v>
      </c>
      <c r="X8" t="n">
        <v>3197.17</v>
      </c>
      <c r="Y8" t="n">
        <v>6753.1</v>
      </c>
      <c r="Z8" t="n">
        <v>4973.28</v>
      </c>
      <c r="AA8" t="n">
        <v>3462.04</v>
      </c>
      <c r="AB8" t="n">
        <v>4490.09</v>
      </c>
      <c r="AC8" t="n">
        <v>7228.44</v>
      </c>
      <c r="AD8" t="n">
        <v>7190.09</v>
      </c>
      <c r="AE8" t="n">
        <v>10098.45</v>
      </c>
      <c r="AF8" t="n">
        <v>7315.78</v>
      </c>
      <c r="AG8" t="n">
        <v>11185.1</v>
      </c>
      <c r="AH8" t="n">
        <v>6753.1</v>
      </c>
      <c r="AI8" t="n">
        <v>21309.39</v>
      </c>
      <c r="AJ8" t="n">
        <v>3404.89</v>
      </c>
      <c r="AK8" t="n">
        <v>22190.99</v>
      </c>
      <c r="AL8" t="inlineStr">
        <is>
          <t>Axis Mutual Fund, Bandhan Mutual Fund, UTI Mutual Fund</t>
        </is>
      </c>
      <c r="AM8" t="inlineStr">
        <is>
          <t>https://www.niftyindices.com/indices/equity/strategy-indices/nifty500-value50</t>
        </is>
      </c>
    </row>
    <row r="9">
      <c r="A9" t="inlineStr">
        <is>
          <t>NIFTY 500</t>
        </is>
      </c>
      <c r="B9" t="n">
        <v>2250.1</v>
      </c>
      <c r="C9" t="n">
        <v>32813.14</v>
      </c>
      <c r="D9" t="n">
        <v>20.9938</v>
      </c>
      <c r="E9" t="n">
        <v>20.27</v>
      </c>
      <c r="F9" t="n">
        <v>2250.1</v>
      </c>
      <c r="G9" t="n">
        <v>5781.09</v>
      </c>
      <c r="H9" t="n">
        <v>3696.06</v>
      </c>
      <c r="I9" t="n">
        <v>6264</v>
      </c>
      <c r="J9" t="n">
        <v>3889.07</v>
      </c>
      <c r="K9" t="n">
        <v>5778.58</v>
      </c>
      <c r="L9" t="n">
        <v>4985.13</v>
      </c>
      <c r="M9" t="n">
        <v>6186.03</v>
      </c>
      <c r="N9" t="n">
        <v>3081.93</v>
      </c>
      <c r="O9" t="n">
        <v>7327.4</v>
      </c>
      <c r="P9" t="n">
        <v>5823.93</v>
      </c>
      <c r="Q9" t="n">
        <v>9887.5</v>
      </c>
      <c r="R9" t="n">
        <v>6282.41</v>
      </c>
      <c r="S9" t="n">
        <v>9239.92</v>
      </c>
      <c r="T9" t="n">
        <v>5813</v>
      </c>
      <c r="U9" t="n">
        <v>11598.65</v>
      </c>
      <c r="V9" t="n">
        <v>6186.03</v>
      </c>
      <c r="W9" t="n">
        <v>13254.74</v>
      </c>
      <c r="X9" t="n">
        <v>7338.75</v>
      </c>
      <c r="Y9" t="n">
        <v>14421.49</v>
      </c>
      <c r="Z9" t="n">
        <v>10003.76</v>
      </c>
      <c r="AA9" t="n">
        <v>10540.43</v>
      </c>
      <c r="AB9" t="n">
        <v>9230.34</v>
      </c>
      <c r="AC9" t="n">
        <v>18717.24</v>
      </c>
      <c r="AD9" t="n">
        <v>11598.65</v>
      </c>
      <c r="AE9" t="n">
        <v>22889.14</v>
      </c>
      <c r="AF9" t="n">
        <v>13254.74</v>
      </c>
      <c r="AG9" t="n">
        <v>22609.54</v>
      </c>
      <c r="AH9" t="n">
        <v>14421.49</v>
      </c>
      <c r="AI9" t="n">
        <v>32135.55</v>
      </c>
      <c r="AJ9" t="n">
        <v>10186.74</v>
      </c>
      <c r="AK9" t="n">
        <v>33361.96</v>
      </c>
      <c r="AL9" t="inlineStr">
        <is>
          <t>Axis Mutual Fund, ICICI Prudential Mutual Fund, Motilal Oswal Mutual Fund, SBI Mutual Fund</t>
        </is>
      </c>
      <c r="AM9" t="inlineStr">
        <is>
          <t>https://www.niftyindices.com/indices/equity/broad-based-indices/nifty-500</t>
        </is>
      </c>
    </row>
    <row r="10">
      <c r="A10" t="inlineStr">
        <is>
          <t>NIFTY MIDCAP 50</t>
        </is>
      </c>
      <c r="B10" t="n">
        <v>1355.71</v>
      </c>
      <c r="C10" t="n">
        <v>19671.49</v>
      </c>
      <c r="D10" t="n">
        <v>20.9938</v>
      </c>
      <c r="E10" t="n">
        <v>25.07</v>
      </c>
      <c r="F10" t="n">
        <v>1355.71</v>
      </c>
      <c r="G10" t="n">
        <v>2963.96</v>
      </c>
      <c r="H10" t="n">
        <v>2263.82</v>
      </c>
      <c r="I10" t="n">
        <v>2788.94</v>
      </c>
      <c r="J10" t="n">
        <v>1953.89</v>
      </c>
      <c r="K10" t="n">
        <v>2599.29</v>
      </c>
      <c r="L10" t="n">
        <v>2532.6</v>
      </c>
      <c r="M10" t="n">
        <v>2256.23</v>
      </c>
      <c r="N10" t="n">
        <v>1287.56</v>
      </c>
      <c r="O10" t="n">
        <v>2882.42</v>
      </c>
      <c r="P10" t="n">
        <v>2985.95</v>
      </c>
      <c r="Q10" t="n">
        <v>3981.31</v>
      </c>
      <c r="R10" t="n">
        <v>2824.1</v>
      </c>
      <c r="S10" t="n">
        <v>3835.53</v>
      </c>
      <c r="T10" t="n">
        <v>2620.39</v>
      </c>
      <c r="U10" t="n">
        <v>5308.47</v>
      </c>
      <c r="V10" t="n">
        <v>2256.23</v>
      </c>
      <c r="W10" t="n">
        <v>6193.61</v>
      </c>
      <c r="X10" t="n">
        <v>2867.75</v>
      </c>
      <c r="Y10" t="n">
        <v>6273.01</v>
      </c>
      <c r="Z10" t="n">
        <v>4037.1</v>
      </c>
      <c r="AA10" t="n">
        <v>3974.08</v>
      </c>
      <c r="AB10" t="n">
        <v>3864.49</v>
      </c>
      <c r="AC10" t="n">
        <v>8531.23</v>
      </c>
      <c r="AD10" t="n">
        <v>5308.47</v>
      </c>
      <c r="AE10" t="n">
        <v>10440.43</v>
      </c>
      <c r="AF10" t="n">
        <v>6193.61</v>
      </c>
      <c r="AG10" t="n">
        <v>10909.66</v>
      </c>
      <c r="AH10" t="n">
        <v>6273.01</v>
      </c>
      <c r="AI10" t="n">
        <v>17891.38</v>
      </c>
      <c r="AJ10" t="n">
        <v>3867.67</v>
      </c>
      <c r="AK10" t="n">
        <v>18816.26</v>
      </c>
      <c r="AL10" t="inlineStr">
        <is>
          <t>Axis Mutual Fund, Kotak Mahindra Mutual Fund</t>
        </is>
      </c>
      <c r="AM10" t="inlineStr">
        <is>
          <t>https://www.niftyindices.com/indices/equity/broad-based-indices/nifty-midcap-50</t>
        </is>
      </c>
    </row>
    <row r="11">
      <c r="A11" t="inlineStr">
        <is>
          <t>NIFTY ALPHA 50</t>
        </is>
      </c>
      <c r="B11" t="n">
        <v>1618.46</v>
      </c>
      <c r="C11" t="n">
        <v>54184.6</v>
      </c>
      <c r="D11" t="n">
        <v>20.9938</v>
      </c>
      <c r="E11" t="n">
        <v>24.71</v>
      </c>
      <c r="F11" t="n">
        <v>1618.46</v>
      </c>
      <c r="G11" t="n">
        <v>3744.73</v>
      </c>
      <c r="H11" t="n">
        <v>3181.88</v>
      </c>
      <c r="I11" t="n">
        <v>4032.42</v>
      </c>
      <c r="J11" t="n">
        <v>3227.58</v>
      </c>
      <c r="K11" t="n">
        <v>4282.19</v>
      </c>
      <c r="L11" t="n">
        <v>4259.06</v>
      </c>
      <c r="M11" t="n">
        <v>4971.81</v>
      </c>
      <c r="N11" t="n">
        <v>1886.79</v>
      </c>
      <c r="O11" t="n">
        <v>5822.43</v>
      </c>
      <c r="P11" t="n">
        <v>3798.63</v>
      </c>
      <c r="Q11" t="n">
        <v>10077.39</v>
      </c>
      <c r="R11" t="n">
        <v>4088.52</v>
      </c>
      <c r="S11" t="n">
        <v>9704.51</v>
      </c>
      <c r="T11" t="n">
        <v>4350.21</v>
      </c>
      <c r="U11" t="n">
        <v>12331.86</v>
      </c>
      <c r="V11" t="n">
        <v>4971.81</v>
      </c>
      <c r="W11" t="n">
        <v>14908.82</v>
      </c>
      <c r="X11" t="n">
        <v>5834.77</v>
      </c>
      <c r="Y11" t="n">
        <v>14228.49</v>
      </c>
      <c r="Z11" t="n">
        <v>10236.42</v>
      </c>
      <c r="AA11" t="n">
        <v>11814.16</v>
      </c>
      <c r="AB11" t="n">
        <v>9706.450000000001</v>
      </c>
      <c r="AC11" t="n">
        <v>26708.8</v>
      </c>
      <c r="AD11" t="n">
        <v>12331.86</v>
      </c>
      <c r="AE11" t="n">
        <v>42099.48</v>
      </c>
      <c r="AF11" t="n">
        <v>14908.82</v>
      </c>
      <c r="AG11" t="n">
        <v>31112.47</v>
      </c>
      <c r="AH11" t="n">
        <v>14228.49</v>
      </c>
      <c r="AI11" t="n">
        <v>58362.55</v>
      </c>
      <c r="AJ11" t="n">
        <v>11707.6</v>
      </c>
      <c r="AK11" t="n">
        <v>54992.84</v>
      </c>
      <c r="AL11" t="inlineStr">
        <is>
          <t>Bandhan Mutual Fund</t>
        </is>
      </c>
      <c r="AM11" t="inlineStr">
        <is>
          <t>https://www.niftyindices.com/indices/equity/strategy-indices/nifty-alpha-50</t>
        </is>
      </c>
    </row>
    <row r="12">
      <c r="A12" t="inlineStr">
        <is>
          <t>NIFTY200 MOMENTUM 30</t>
        </is>
      </c>
      <c r="B12" t="n">
        <v>1000</v>
      </c>
      <c r="C12" t="n">
        <v>33895.81</v>
      </c>
      <c r="D12" t="n">
        <v>20.9938</v>
      </c>
      <c r="E12" t="n">
        <v>22.41</v>
      </c>
      <c r="F12" t="n">
        <v>1000</v>
      </c>
      <c r="G12" t="n">
        <v>2811.48</v>
      </c>
      <c r="H12" t="n">
        <v>1797.03</v>
      </c>
      <c r="I12" t="n">
        <v>3206.71</v>
      </c>
      <c r="J12" t="n">
        <v>1794.92</v>
      </c>
      <c r="K12" t="n">
        <v>3198.49</v>
      </c>
      <c r="L12" t="n">
        <v>2631.9</v>
      </c>
      <c r="M12" t="n">
        <v>3737.84</v>
      </c>
      <c r="N12" t="n">
        <v>1713.11</v>
      </c>
      <c r="O12" t="n">
        <v>4520.63</v>
      </c>
      <c r="P12" t="n">
        <v>2830.48</v>
      </c>
      <c r="Q12" t="n">
        <v>7240.99</v>
      </c>
      <c r="R12" t="n">
        <v>3199.01</v>
      </c>
      <c r="S12" t="n">
        <v>6923.56</v>
      </c>
      <c r="T12" t="n">
        <v>3222.97</v>
      </c>
      <c r="U12" t="n">
        <v>9704.959999999999</v>
      </c>
      <c r="V12" t="n">
        <v>3737.84</v>
      </c>
      <c r="W12" t="n">
        <v>12050.25</v>
      </c>
      <c r="X12" t="n">
        <v>4556.61</v>
      </c>
      <c r="Y12" t="n">
        <v>13209.56</v>
      </c>
      <c r="Z12" t="n">
        <v>7348.68</v>
      </c>
      <c r="AA12" t="n">
        <v>11002.27</v>
      </c>
      <c r="AB12" t="n">
        <v>6916.5</v>
      </c>
      <c r="AC12" t="n">
        <v>17866.29</v>
      </c>
      <c r="AD12" t="n">
        <v>9704.959999999999</v>
      </c>
      <c r="AE12" t="n">
        <v>24607.66</v>
      </c>
      <c r="AF12" t="n">
        <v>12050.25</v>
      </c>
      <c r="AG12" t="n">
        <v>22346.65</v>
      </c>
      <c r="AH12" t="n">
        <v>13209.56</v>
      </c>
      <c r="AI12" t="n">
        <v>38504.8</v>
      </c>
      <c r="AJ12" t="n">
        <v>10616.55</v>
      </c>
      <c r="AK12" t="n">
        <v>34448.05</v>
      </c>
      <c r="AL12" t="inlineStr">
        <is>
          <t>Bandhan Mutual Fund, Baroda BNP Paribas Mutual Fund, HDFC Mutual Fund, ICICI Prudential Mutual Fund, Kotak Mahindra Mutual Fund, Motilal Oswal Mutual Fund, UTI Mutual Fund</t>
        </is>
      </c>
      <c r="AM12" t="inlineStr">
        <is>
          <t>https://www.niftyindices.com/indices/equity/strategy-indices/nifty200-momentum-30-index</t>
        </is>
      </c>
    </row>
    <row r="13">
      <c r="A13" t="inlineStr">
        <is>
          <t>NIFTY SMALLCAP 250</t>
        </is>
      </c>
      <c r="B13" t="n">
        <v>1000</v>
      </c>
      <c r="C13" t="n">
        <v>18183.31</v>
      </c>
      <c r="D13" t="n">
        <v>20.9938</v>
      </c>
      <c r="E13" t="n">
        <v>21.56</v>
      </c>
      <c r="F13" t="n">
        <v>1000</v>
      </c>
      <c r="G13" t="n">
        <v>2857.15</v>
      </c>
      <c r="H13" t="n">
        <v>1786.61</v>
      </c>
      <c r="I13" t="n">
        <v>2883.17</v>
      </c>
      <c r="J13" t="n">
        <v>1941.41</v>
      </c>
      <c r="K13" t="n">
        <v>2635.24</v>
      </c>
      <c r="L13" t="n">
        <v>2607.61</v>
      </c>
      <c r="M13" t="n">
        <v>2543.15</v>
      </c>
      <c r="N13" t="n">
        <v>1214.02</v>
      </c>
      <c r="O13" t="n">
        <v>3068.39</v>
      </c>
      <c r="P13" t="n">
        <v>2904.77</v>
      </c>
      <c r="Q13" t="n">
        <v>4994.23</v>
      </c>
      <c r="R13" t="n">
        <v>2938.16</v>
      </c>
      <c r="S13" t="n">
        <v>4697.09</v>
      </c>
      <c r="T13" t="n">
        <v>2668.78</v>
      </c>
      <c r="U13" t="n">
        <v>6602.37</v>
      </c>
      <c r="V13" t="n">
        <v>2543.15</v>
      </c>
      <c r="W13" t="n">
        <v>7598.12</v>
      </c>
      <c r="X13" t="n">
        <v>3075.14</v>
      </c>
      <c r="Y13" t="n">
        <v>6586.72</v>
      </c>
      <c r="Z13" t="n">
        <v>5105.06</v>
      </c>
      <c r="AA13" t="n">
        <v>3900.5</v>
      </c>
      <c r="AB13" t="n">
        <v>4742.59</v>
      </c>
      <c r="AC13" t="n">
        <v>8529.76</v>
      </c>
      <c r="AD13" t="n">
        <v>6602.37</v>
      </c>
      <c r="AE13" t="n">
        <v>11687.4</v>
      </c>
      <c r="AF13" t="n">
        <v>7598.12</v>
      </c>
      <c r="AG13" t="n">
        <v>10982.49</v>
      </c>
      <c r="AH13" t="n">
        <v>6586.72</v>
      </c>
      <c r="AI13" t="n">
        <v>18570.61</v>
      </c>
      <c r="AJ13" t="n">
        <v>3862.36</v>
      </c>
      <c r="AK13" t="n">
        <v>19018.8</v>
      </c>
      <c r="AL13" t="inlineStr">
        <is>
          <t>Bandhan Mutual Fund, Edelweiss Mutual Fund, Groww Mutual Fund, HDFC Mutual Fund, ICICI Prudential Mutual Fund, Kotak Mahindra Mutual Fund, Motilal Oswal Mutual Fund, Nippon India Mutual Fund, SBI Mutual Fund</t>
        </is>
      </c>
      <c r="AM13" t="inlineStr">
        <is>
          <t>https://www.niftyindices.com/indices/equity/broad-based-indices/niftysmallcap250</t>
        </is>
      </c>
    </row>
    <row r="14">
      <c r="A14" t="inlineStr">
        <is>
          <t>NIFTY ALPHA LOW-VOLATILITY 30</t>
        </is>
      </c>
      <c r="B14" t="n">
        <v>1000</v>
      </c>
      <c r="C14" t="n">
        <v>31479.44</v>
      </c>
      <c r="D14" t="n">
        <v>20.9938</v>
      </c>
      <c r="E14" t="n">
        <v>17.31</v>
      </c>
      <c r="F14" t="n">
        <v>1000</v>
      </c>
      <c r="G14" t="n">
        <v>2867.73</v>
      </c>
      <c r="H14" t="n">
        <v>1859.65</v>
      </c>
      <c r="I14" t="n">
        <v>3470.05</v>
      </c>
      <c r="J14" t="n">
        <v>1910.39</v>
      </c>
      <c r="K14" t="n">
        <v>3618.44</v>
      </c>
      <c r="L14" t="n">
        <v>2437.67</v>
      </c>
      <c r="M14" t="n">
        <v>4263.3</v>
      </c>
      <c r="N14" t="n">
        <v>1711.25</v>
      </c>
      <c r="O14" t="n">
        <v>5324.99</v>
      </c>
      <c r="P14" t="n">
        <v>2867.95</v>
      </c>
      <c r="Q14" t="n">
        <v>8302.42</v>
      </c>
      <c r="R14" t="n">
        <v>3466.07</v>
      </c>
      <c r="S14" t="n">
        <v>8283.02</v>
      </c>
      <c r="T14" t="n">
        <v>3621.7</v>
      </c>
      <c r="U14" t="n">
        <v>10729.65</v>
      </c>
      <c r="V14" t="n">
        <v>4263.3</v>
      </c>
      <c r="W14" t="n">
        <v>13020.21</v>
      </c>
      <c r="X14" t="n">
        <v>5329.44</v>
      </c>
      <c r="Y14" t="n">
        <v>14226.78</v>
      </c>
      <c r="Z14" t="n">
        <v>8381.75</v>
      </c>
      <c r="AA14" t="n">
        <v>11936.5</v>
      </c>
      <c r="AB14" t="n">
        <v>8253.799999999999</v>
      </c>
      <c r="AC14" t="n">
        <v>17569.97</v>
      </c>
      <c r="AD14" t="n">
        <v>10729.65</v>
      </c>
      <c r="AE14" t="n">
        <v>21211.23</v>
      </c>
      <c r="AF14" t="n">
        <v>13020.21</v>
      </c>
      <c r="AG14" t="n">
        <v>21386.44</v>
      </c>
      <c r="AH14" t="n">
        <v>14226.78</v>
      </c>
      <c r="AI14" t="n">
        <v>33991.98</v>
      </c>
      <c r="AJ14" t="n">
        <v>11481.38</v>
      </c>
      <c r="AK14" t="n">
        <v>32319.08</v>
      </c>
      <c r="AL14" t="inlineStr">
        <is>
          <t>Bandhan Mutual Fund, Edelweiss Mutual Fund, Nippon India Mutual Fund, UTI Mutual Fund</t>
        </is>
      </c>
      <c r="AM14" t="inlineStr">
        <is>
          <t>https://www.niftyindices.com/indices/equity/strategy-indices/nifty-alpha-low-volatility-30</t>
        </is>
      </c>
    </row>
    <row r="15">
      <c r="A15" t="inlineStr">
        <is>
          <t>NIFTY100 LOW VOLATILITY 30</t>
        </is>
      </c>
      <c r="B15" t="n">
        <v>1000</v>
      </c>
      <c r="C15" t="n">
        <v>25605.76</v>
      </c>
      <c r="D15" t="n">
        <v>20.9938</v>
      </c>
      <c r="E15" t="n">
        <v>16.92</v>
      </c>
      <c r="F15" t="n">
        <v>1000</v>
      </c>
      <c r="G15" t="n">
        <v>3307.42</v>
      </c>
      <c r="H15" t="n">
        <v>1920.54</v>
      </c>
      <c r="I15" t="n">
        <v>3846.89</v>
      </c>
      <c r="J15" t="n">
        <v>1939.29</v>
      </c>
      <c r="K15" t="n">
        <v>4034.41</v>
      </c>
      <c r="L15" t="n">
        <v>2367.69</v>
      </c>
      <c r="M15" t="n">
        <v>4504.82</v>
      </c>
      <c r="N15" t="n">
        <v>1833.18</v>
      </c>
      <c r="O15" t="n">
        <v>5348.12</v>
      </c>
      <c r="P15" t="n">
        <v>3304.68</v>
      </c>
      <c r="Q15" t="n">
        <v>7210.33</v>
      </c>
      <c r="R15" t="n">
        <v>3842.32</v>
      </c>
      <c r="S15" t="n">
        <v>7236.83</v>
      </c>
      <c r="T15" t="n">
        <v>4044.66</v>
      </c>
      <c r="U15" t="n">
        <v>8615.6</v>
      </c>
      <c r="V15" t="n">
        <v>4504.82</v>
      </c>
      <c r="W15" t="n">
        <v>10009.61</v>
      </c>
      <c r="X15" t="n">
        <v>5353.27</v>
      </c>
      <c r="Y15" t="n">
        <v>11085.04</v>
      </c>
      <c r="Z15" t="n">
        <v>7268.95</v>
      </c>
      <c r="AA15" t="n">
        <v>9075.040000000001</v>
      </c>
      <c r="AB15" t="n">
        <v>7215.96</v>
      </c>
      <c r="AC15" t="n">
        <v>14700</v>
      </c>
      <c r="AD15" t="n">
        <v>8615.6</v>
      </c>
      <c r="AE15" t="n">
        <v>16917.83</v>
      </c>
      <c r="AF15" t="n">
        <v>10009.61</v>
      </c>
      <c r="AG15" t="n">
        <v>17566.29</v>
      </c>
      <c r="AH15" t="n">
        <v>11085.04</v>
      </c>
      <c r="AI15" t="n">
        <v>24941.4</v>
      </c>
      <c r="AJ15" t="n">
        <v>8744.219999999999</v>
      </c>
      <c r="AK15" t="n">
        <v>25689.28</v>
      </c>
      <c r="AL15" t="inlineStr">
        <is>
          <t>Bandhan Mutual Fund, HDFC Mutual Fund, Kotak Mahindra Mutual Fund</t>
        </is>
      </c>
      <c r="AM15" t="inlineStr">
        <is>
          <t>https://www.niftyindices.com/indices/equity/strategy-indices/nifty-100-low-volatility</t>
        </is>
      </c>
    </row>
    <row r="16">
      <c r="A16" t="inlineStr">
        <is>
          <t>NIFTY500 MOMENTUM 50</t>
        </is>
      </c>
      <c r="B16" t="n">
        <v>1000</v>
      </c>
      <c r="C16" t="n">
        <v>55615.61</v>
      </c>
      <c r="D16" t="n">
        <v>20.9938</v>
      </c>
      <c r="E16" t="n">
        <v>22.49</v>
      </c>
      <c r="F16" t="n">
        <v>1000</v>
      </c>
      <c r="G16" t="n">
        <v>3676.88</v>
      </c>
      <c r="H16" t="n">
        <v>2184.08</v>
      </c>
      <c r="I16" t="n">
        <v>4158.51</v>
      </c>
      <c r="J16" t="n">
        <v>2349.11</v>
      </c>
      <c r="K16" t="n">
        <v>4149.28</v>
      </c>
      <c r="L16" t="n">
        <v>3771.54</v>
      </c>
      <c r="M16" t="n">
        <v>5041.82</v>
      </c>
      <c r="N16" t="n">
        <v>2232.79</v>
      </c>
      <c r="O16" t="n">
        <v>6055.15</v>
      </c>
      <c r="P16" t="n">
        <v>3711.57</v>
      </c>
      <c r="Q16" t="n">
        <v>11286.86</v>
      </c>
      <c r="R16" t="n">
        <v>4183.63</v>
      </c>
      <c r="S16" t="n">
        <v>10504.52</v>
      </c>
      <c r="T16" t="n">
        <v>4200.86</v>
      </c>
      <c r="U16" t="n">
        <v>14195.78</v>
      </c>
      <c r="V16" t="n">
        <v>5041.82</v>
      </c>
      <c r="W16" t="n">
        <v>17463.63</v>
      </c>
      <c r="X16" t="n">
        <v>6079.41</v>
      </c>
      <c r="Y16" t="n">
        <v>18213.32</v>
      </c>
      <c r="Z16" t="n">
        <v>11514.51</v>
      </c>
      <c r="AA16" t="n">
        <v>14194.85</v>
      </c>
      <c r="AB16" t="n">
        <v>10515.84</v>
      </c>
      <c r="AC16" t="n">
        <v>25965.85</v>
      </c>
      <c r="AD16" t="n">
        <v>14195.78</v>
      </c>
      <c r="AE16" t="n">
        <v>38003.07</v>
      </c>
      <c r="AF16" t="n">
        <v>17463.63</v>
      </c>
      <c r="AG16" t="n">
        <v>34380.99</v>
      </c>
      <c r="AH16" t="n">
        <v>18213.32</v>
      </c>
      <c r="AI16" t="n">
        <v>61493.05</v>
      </c>
      <c r="AJ16" t="n">
        <v>13896.4</v>
      </c>
      <c r="AK16" t="n">
        <v>56541.83</v>
      </c>
      <c r="AL16" t="inlineStr">
        <is>
          <t>Bandhan Mutual Fund, Motilal Oswal Mutual Fund, Nippon India Mutual Fund</t>
        </is>
      </c>
      <c r="AM16" t="inlineStr">
        <is>
          <t>https://www.niftyindices.com/indices/equity/strategy-indices/nifty500--momentum--50</t>
        </is>
      </c>
    </row>
    <row r="17">
      <c r="A17" t="inlineStr">
        <is>
          <t>NIFTY200 QUALITY 30</t>
        </is>
      </c>
      <c r="B17" t="n">
        <v>1000</v>
      </c>
      <c r="C17" t="n">
        <v>26139.47</v>
      </c>
      <c r="D17" t="n">
        <v>20.9938</v>
      </c>
      <c r="E17" t="n">
        <v>17.99</v>
      </c>
      <c r="F17" t="n">
        <v>1000</v>
      </c>
      <c r="G17" t="n">
        <v>3396.13</v>
      </c>
      <c r="H17" t="n">
        <v>1710.81</v>
      </c>
      <c r="I17" t="n">
        <v>3873.39</v>
      </c>
      <c r="J17" t="n">
        <v>1718.41</v>
      </c>
      <c r="K17" t="n">
        <v>4331.27</v>
      </c>
      <c r="L17" t="n">
        <v>2219.03</v>
      </c>
      <c r="M17" t="n">
        <v>4816.11</v>
      </c>
      <c r="N17" t="n">
        <v>1467.73</v>
      </c>
      <c r="O17" t="n">
        <v>6246.31</v>
      </c>
      <c r="P17" t="n">
        <v>3404.63</v>
      </c>
      <c r="Q17" t="n">
        <v>8707.15</v>
      </c>
      <c r="R17" t="n">
        <v>3884.48</v>
      </c>
      <c r="S17" t="n">
        <v>8239.040000000001</v>
      </c>
      <c r="T17" t="n">
        <v>4360.54</v>
      </c>
      <c r="U17" t="n">
        <v>9357.18</v>
      </c>
      <c r="V17" t="n">
        <v>4816.11</v>
      </c>
      <c r="W17" t="n">
        <v>11149.88</v>
      </c>
      <c r="X17" t="n">
        <v>6252.9</v>
      </c>
      <c r="Y17" t="n">
        <v>12391.21</v>
      </c>
      <c r="Z17" t="n">
        <v>8755.42</v>
      </c>
      <c r="AA17" t="n">
        <v>10465.27</v>
      </c>
      <c r="AB17" t="n">
        <v>8225.41</v>
      </c>
      <c r="AC17" t="n">
        <v>16404.29</v>
      </c>
      <c r="AD17" t="n">
        <v>9357.18</v>
      </c>
      <c r="AE17" t="n">
        <v>19323.13</v>
      </c>
      <c r="AF17" t="n">
        <v>11149.88</v>
      </c>
      <c r="AG17" t="n">
        <v>19196.1</v>
      </c>
      <c r="AH17" t="n">
        <v>12391.21</v>
      </c>
      <c r="AI17" t="n">
        <v>26043.08</v>
      </c>
      <c r="AJ17" t="n">
        <v>10149.2</v>
      </c>
      <c r="AK17" t="n">
        <v>26783.32</v>
      </c>
      <c r="AL17" t="inlineStr">
        <is>
          <t>Bandhan Mutual Fund, UTI Mutual Fund</t>
        </is>
      </c>
      <c r="AM17" t="inlineStr">
        <is>
          <t>https://www.niftyindices.com/indices/equity/strategy-indices/nifty200-quality-30</t>
        </is>
      </c>
    </row>
    <row r="18">
      <c r="A18" t="inlineStr">
        <is>
          <t>NIFTY SMALLCAP250 QUALITY 50</t>
        </is>
      </c>
      <c r="B18" t="n">
        <v>1000</v>
      </c>
      <c r="C18" t="n">
        <v>31098.58</v>
      </c>
      <c r="D18" t="n">
        <v>20.9938</v>
      </c>
      <c r="E18" t="n">
        <v>19.59</v>
      </c>
      <c r="F18" t="n">
        <v>1000</v>
      </c>
      <c r="G18" t="n">
        <v>2587.5</v>
      </c>
      <c r="H18" t="n">
        <v>1633.21</v>
      </c>
      <c r="I18" t="n">
        <v>2990.59</v>
      </c>
      <c r="J18" t="n">
        <v>1573.37</v>
      </c>
      <c r="K18" t="n">
        <v>2903.32</v>
      </c>
      <c r="L18" t="n">
        <v>1832</v>
      </c>
      <c r="M18" t="n">
        <v>3096.25</v>
      </c>
      <c r="N18" t="n">
        <v>950.45</v>
      </c>
      <c r="O18" t="n">
        <v>4172.32</v>
      </c>
      <c r="P18" t="n">
        <v>2618.87</v>
      </c>
      <c r="Q18" t="n">
        <v>6947.29</v>
      </c>
      <c r="R18" t="n">
        <v>3037.06</v>
      </c>
      <c r="S18" t="n">
        <v>7003.31</v>
      </c>
      <c r="T18" t="n">
        <v>2938.34</v>
      </c>
      <c r="U18" t="n">
        <v>10080.93</v>
      </c>
      <c r="V18" t="n">
        <v>3096.25</v>
      </c>
      <c r="W18" t="n">
        <v>11413.18</v>
      </c>
      <c r="X18" t="n">
        <v>4174.5</v>
      </c>
      <c r="Y18" t="n">
        <v>10746.59</v>
      </c>
      <c r="Z18" t="n">
        <v>7130.57</v>
      </c>
      <c r="AA18" t="n">
        <v>7005.64</v>
      </c>
      <c r="AB18" t="n">
        <v>7035.66</v>
      </c>
      <c r="AC18" t="n">
        <v>14640.91</v>
      </c>
      <c r="AD18" t="n">
        <v>10080.93</v>
      </c>
      <c r="AE18" t="n">
        <v>20499.52</v>
      </c>
      <c r="AF18" t="n">
        <v>11413.18</v>
      </c>
      <c r="AG18" t="n">
        <v>20714.27</v>
      </c>
      <c r="AH18" t="n">
        <v>10746.59</v>
      </c>
      <c r="AI18" t="n">
        <v>33248.75</v>
      </c>
      <c r="AJ18" t="n">
        <v>6928.01</v>
      </c>
      <c r="AK18" t="n">
        <v>34004.51</v>
      </c>
      <c r="AL18" t="inlineStr">
        <is>
          <t>DSP Mutual Fund</t>
        </is>
      </c>
      <c r="AM18" t="inlineStr">
        <is>
          <t>https://www.niftyindices.com/indices/equity/strategy-indices/nifty-smallcap250-quality50</t>
        </is>
      </c>
    </row>
    <row r="19">
      <c r="A19" t="inlineStr">
        <is>
          <t>NIFTY TOP 10 EQUAL WEIGHT</t>
        </is>
      </c>
      <c r="B19" t="n">
        <v>1000</v>
      </c>
      <c r="C19" t="n">
        <v>10814.47</v>
      </c>
      <c r="D19" t="n">
        <v>20.0767</v>
      </c>
      <c r="E19" t="n">
        <v>22.14</v>
      </c>
      <c r="G19" t="n">
        <v>1675.64</v>
      </c>
      <c r="H19" t="n">
        <v>1074.62</v>
      </c>
      <c r="I19" t="n">
        <v>1981.65</v>
      </c>
      <c r="J19" t="n">
        <v>1261.57</v>
      </c>
      <c r="K19" t="n">
        <v>1859.56</v>
      </c>
      <c r="L19" t="n">
        <v>1425.48</v>
      </c>
      <c r="M19" t="n">
        <v>2219.63</v>
      </c>
      <c r="N19" t="n">
        <v>952.41</v>
      </c>
      <c r="O19" t="n">
        <v>2653.89</v>
      </c>
      <c r="P19" t="n">
        <v>1685.52</v>
      </c>
      <c r="Q19" t="n">
        <v>3305.98</v>
      </c>
      <c r="R19" t="n">
        <v>1973.71</v>
      </c>
      <c r="S19" t="n">
        <v>3025.51</v>
      </c>
      <c r="T19" t="n">
        <v>1873.79</v>
      </c>
      <c r="U19" t="n">
        <v>3711.35</v>
      </c>
      <c r="V19" t="n">
        <v>2219.63</v>
      </c>
      <c r="W19" t="n">
        <v>4292.79</v>
      </c>
      <c r="X19" t="n">
        <v>2660.1</v>
      </c>
      <c r="Y19" t="n">
        <v>5625.16</v>
      </c>
      <c r="Z19" t="n">
        <v>3336.22</v>
      </c>
      <c r="AA19" t="n">
        <v>4394.52</v>
      </c>
      <c r="AB19" t="n">
        <v>3032.14</v>
      </c>
      <c r="AC19" t="n">
        <v>7380.33</v>
      </c>
      <c r="AD19" t="n">
        <v>3711.35</v>
      </c>
      <c r="AE19" t="n">
        <v>8440.959999999999</v>
      </c>
      <c r="AF19" t="n">
        <v>4292.79</v>
      </c>
      <c r="AG19" t="n">
        <v>9302.950000000001</v>
      </c>
      <c r="AH19" t="n">
        <v>5625.16</v>
      </c>
      <c r="AI19" t="n">
        <v>11111.96</v>
      </c>
      <c r="AJ19" t="n">
        <v>4181.24</v>
      </c>
      <c r="AK19" t="n">
        <v>11960.92</v>
      </c>
      <c r="AL19" t="inlineStr">
        <is>
          <t>DSP Mutual Fund</t>
        </is>
      </c>
      <c r="AM19" t="inlineStr">
        <is>
          <t>https://www.niftyindices.com/indices/equity/strategy-indices/nifty-top-10-equal-weight</t>
        </is>
      </c>
    </row>
    <row r="20">
      <c r="A20" t="inlineStr">
        <is>
          <t>NIFTY MIDCAP150 QUALITY 50</t>
        </is>
      </c>
      <c r="B20" t="n">
        <v>1000</v>
      </c>
      <c r="C20" t="n">
        <v>28092.86</v>
      </c>
      <c r="D20" t="n">
        <v>20.9938</v>
      </c>
      <c r="E20" t="n">
        <v>17.75</v>
      </c>
      <c r="F20" t="n">
        <v>1000</v>
      </c>
      <c r="G20" t="n">
        <v>3094.12</v>
      </c>
      <c r="H20" t="n">
        <v>1760.02</v>
      </c>
      <c r="I20" t="n">
        <v>3722.34</v>
      </c>
      <c r="J20" t="n">
        <v>1710.5</v>
      </c>
      <c r="K20" t="n">
        <v>3726.12</v>
      </c>
      <c r="L20" t="n">
        <v>1926.24</v>
      </c>
      <c r="M20" t="n">
        <v>3825.87</v>
      </c>
      <c r="N20" t="n">
        <v>1266.12</v>
      </c>
      <c r="O20" t="n">
        <v>4919.86</v>
      </c>
      <c r="P20" t="n">
        <v>3109.02</v>
      </c>
      <c r="Q20" t="n">
        <v>8030.2</v>
      </c>
      <c r="R20" t="n">
        <v>3751.25</v>
      </c>
      <c r="S20" t="n">
        <v>7710.41</v>
      </c>
      <c r="T20" t="n">
        <v>3745.33</v>
      </c>
      <c r="U20" t="n">
        <v>10447.8</v>
      </c>
      <c r="V20" t="n">
        <v>3825.87</v>
      </c>
      <c r="W20" t="n">
        <v>13179.29</v>
      </c>
      <c r="X20" t="n">
        <v>4905.63</v>
      </c>
      <c r="Y20" t="n">
        <v>13023.02</v>
      </c>
      <c r="Z20" t="n">
        <v>8120.08</v>
      </c>
      <c r="AA20" t="n">
        <v>10297.42</v>
      </c>
      <c r="AB20" t="n">
        <v>7733.41</v>
      </c>
      <c r="AC20" t="n">
        <v>18346.01</v>
      </c>
      <c r="AD20" t="n">
        <v>10447.8</v>
      </c>
      <c r="AE20" t="n">
        <v>21809.69</v>
      </c>
      <c r="AF20" t="n">
        <v>13179.29</v>
      </c>
      <c r="AG20" t="n">
        <v>20153.74</v>
      </c>
      <c r="AH20" t="n">
        <v>13023.02</v>
      </c>
      <c r="AI20" t="n">
        <v>27395.04</v>
      </c>
      <c r="AJ20" t="n">
        <v>10147.02</v>
      </c>
      <c r="AK20" t="n">
        <v>29093.83</v>
      </c>
      <c r="AL20" t="inlineStr">
        <is>
          <t>DSP Mutual Fund, UTI Mutual Fund</t>
        </is>
      </c>
      <c r="AM20" t="inlineStr">
        <is>
          <t>https://www.niftyindices.com/indices/equity/strategy-indices/nifty-midcap150-quality-50</t>
        </is>
      </c>
    </row>
    <row r="21">
      <c r="A21" t="inlineStr">
        <is>
          <t>NIFTY500 MULTICAP MOMENTUM QUALITY 50</t>
        </is>
      </c>
      <c r="B21" t="n">
        <v>1000</v>
      </c>
      <c r="C21" t="n">
        <v>47199.55</v>
      </c>
      <c r="D21" t="n">
        <v>20.9938</v>
      </c>
      <c r="E21" t="n">
        <v>19.1</v>
      </c>
      <c r="F21" t="n">
        <v>1000</v>
      </c>
      <c r="G21" t="n">
        <v>3142.57</v>
      </c>
      <c r="H21" t="n">
        <v>2012.49</v>
      </c>
      <c r="I21" t="n">
        <v>3625.89</v>
      </c>
      <c r="J21" t="n">
        <v>1918</v>
      </c>
      <c r="K21" t="n">
        <v>3801.21</v>
      </c>
      <c r="L21" t="n">
        <v>2244.86</v>
      </c>
      <c r="M21" t="n">
        <v>4397.7</v>
      </c>
      <c r="N21" t="n">
        <v>1538.93</v>
      </c>
      <c r="O21" t="n">
        <v>5915.46</v>
      </c>
      <c r="P21" t="n">
        <v>3177.66</v>
      </c>
      <c r="Q21" t="n">
        <v>10159.32</v>
      </c>
      <c r="R21" t="n">
        <v>3646.34</v>
      </c>
      <c r="S21" t="n">
        <v>9651.799999999999</v>
      </c>
      <c r="T21" t="n">
        <v>3830.16</v>
      </c>
      <c r="U21" t="n">
        <v>12177.93</v>
      </c>
      <c r="V21" t="n">
        <v>4397.7</v>
      </c>
      <c r="W21" t="n">
        <v>14895.01</v>
      </c>
      <c r="X21" t="n">
        <v>5960.07</v>
      </c>
      <c r="Y21" t="n">
        <v>16143.7</v>
      </c>
      <c r="Z21" t="n">
        <v>10315.27</v>
      </c>
      <c r="AA21" t="n">
        <v>14136.22</v>
      </c>
      <c r="AB21" t="n">
        <v>9675.65</v>
      </c>
      <c r="AC21" t="n">
        <v>23208.07</v>
      </c>
      <c r="AD21" t="n">
        <v>12177.93</v>
      </c>
      <c r="AE21" t="n">
        <v>32876.07</v>
      </c>
      <c r="AF21" t="n">
        <v>14895.01</v>
      </c>
      <c r="AG21" t="n">
        <v>29491.43</v>
      </c>
      <c r="AH21" t="n">
        <v>16143.7</v>
      </c>
      <c r="AI21" t="n">
        <v>51826.54</v>
      </c>
      <c r="AJ21" t="n">
        <v>13846.06</v>
      </c>
      <c r="AK21" t="n">
        <v>48365.9</v>
      </c>
      <c r="AL21" t="inlineStr">
        <is>
          <t>Edelweiss Mutual Fund</t>
        </is>
      </c>
      <c r="AM21" t="inlineStr">
        <is>
          <t>https://www.niftyindices.com/indices/equity/strategy-indices/nifty500-multicap-momentum-quality50</t>
        </is>
      </c>
    </row>
    <row r="22">
      <c r="A22" t="inlineStr">
        <is>
          <t>NIFTY LARGEMIDCAP 250</t>
        </is>
      </c>
      <c r="B22" t="n">
        <v>1000</v>
      </c>
      <c r="C22" t="n">
        <v>18939.96</v>
      </c>
      <c r="D22" t="n">
        <v>20.9938</v>
      </c>
      <c r="E22" t="n">
        <v>20.12</v>
      </c>
      <c r="F22" t="n">
        <v>1000</v>
      </c>
      <c r="G22" t="n">
        <v>2607.64</v>
      </c>
      <c r="H22" t="n">
        <v>1689.24</v>
      </c>
      <c r="I22" t="n">
        <v>2792.41</v>
      </c>
      <c r="J22" t="n">
        <v>1713.68</v>
      </c>
      <c r="K22" t="n">
        <v>2616.22</v>
      </c>
      <c r="L22" t="n">
        <v>2191.38</v>
      </c>
      <c r="M22" t="n">
        <v>2806.42</v>
      </c>
      <c r="N22" t="n">
        <v>1273.24</v>
      </c>
      <c r="O22" t="n">
        <v>3328.28</v>
      </c>
      <c r="P22" t="n">
        <v>2630.06</v>
      </c>
      <c r="Q22" t="n">
        <v>4819.92</v>
      </c>
      <c r="R22" t="n">
        <v>2811.16</v>
      </c>
      <c r="S22" t="n">
        <v>4613.85</v>
      </c>
      <c r="T22" t="n">
        <v>2635.13</v>
      </c>
      <c r="U22" t="n">
        <v>5991.47</v>
      </c>
      <c r="V22" t="n">
        <v>2806.42</v>
      </c>
      <c r="W22" t="n">
        <v>6958.58</v>
      </c>
      <c r="X22" t="n">
        <v>3328.18</v>
      </c>
      <c r="Y22" t="n">
        <v>7334.14</v>
      </c>
      <c r="Z22" t="n">
        <v>4875.68</v>
      </c>
      <c r="AA22" t="n">
        <v>5301.41</v>
      </c>
      <c r="AB22" t="n">
        <v>4619.35</v>
      </c>
      <c r="AC22" t="n">
        <v>9855.639999999999</v>
      </c>
      <c r="AD22" t="n">
        <v>5991.47</v>
      </c>
      <c r="AE22" t="n">
        <v>12112.92</v>
      </c>
      <c r="AF22" t="n">
        <v>6958.58</v>
      </c>
      <c r="AG22" t="n">
        <v>12188.35</v>
      </c>
      <c r="AH22" t="n">
        <v>7334.14</v>
      </c>
      <c r="AI22" t="n">
        <v>18024.27</v>
      </c>
      <c r="AJ22" t="n">
        <v>5152.25</v>
      </c>
      <c r="AK22" t="n">
        <v>18865.51</v>
      </c>
      <c r="AL22" t="inlineStr">
        <is>
          <t>Edelweiss Mutual Fund, HDFC Mutual Fund, ICICI Prudential Mutual Fund, Mirae Asset Mutual Fund, Zerodha Mutual Fund</t>
        </is>
      </c>
      <c r="AM22" t="inlineStr">
        <is>
          <t>https://www.niftyindices.com/indices/equity/broad-based-indices/nifty-largemidcap-250</t>
        </is>
      </c>
    </row>
    <row r="23">
      <c r="A23" t="inlineStr">
        <is>
          <t>NIFTY MIDCAP150 MOMENTUM 50</t>
        </is>
      </c>
      <c r="B23" t="n">
        <v>1000</v>
      </c>
      <c r="C23" t="n">
        <v>66945.19</v>
      </c>
      <c r="D23" t="n">
        <v>20.9938</v>
      </c>
      <c r="E23" t="n">
        <v>21.2</v>
      </c>
      <c r="F23" t="n">
        <v>1000</v>
      </c>
      <c r="G23" t="n">
        <v>2867.8</v>
      </c>
      <c r="H23" t="n">
        <v>2067.55</v>
      </c>
      <c r="I23" t="n">
        <v>3387.39</v>
      </c>
      <c r="J23" t="n">
        <v>1935.4</v>
      </c>
      <c r="K23" t="n">
        <v>3589.03</v>
      </c>
      <c r="L23" t="n">
        <v>2491.56</v>
      </c>
      <c r="M23" t="n">
        <v>4444.82</v>
      </c>
      <c r="N23" t="n">
        <v>1346.91</v>
      </c>
      <c r="O23" t="n">
        <v>5425.27</v>
      </c>
      <c r="P23" t="n">
        <v>2902.66</v>
      </c>
      <c r="Q23" t="n">
        <v>9971.120000000001</v>
      </c>
      <c r="R23" t="n">
        <v>3407.43</v>
      </c>
      <c r="S23" t="n">
        <v>10085.49</v>
      </c>
      <c r="T23" t="n">
        <v>3621.17</v>
      </c>
      <c r="U23" t="n">
        <v>13952.44</v>
      </c>
      <c r="V23" t="n">
        <v>4444.82</v>
      </c>
      <c r="W23" t="n">
        <v>17879.19</v>
      </c>
      <c r="X23" t="n">
        <v>5432.83</v>
      </c>
      <c r="Y23" t="n">
        <v>16855.16</v>
      </c>
      <c r="Z23" t="n">
        <v>10096.96</v>
      </c>
      <c r="AA23" t="n">
        <v>13619.34</v>
      </c>
      <c r="AB23" t="n">
        <v>10111.65</v>
      </c>
      <c r="AC23" t="n">
        <v>27265.07</v>
      </c>
      <c r="AD23" t="n">
        <v>13952.44</v>
      </c>
      <c r="AE23" t="n">
        <v>38336.35</v>
      </c>
      <c r="AF23" t="n">
        <v>17879.19</v>
      </c>
      <c r="AG23" t="n">
        <v>37811.02</v>
      </c>
      <c r="AH23" t="n">
        <v>16855.16</v>
      </c>
      <c r="AI23" t="n">
        <v>66030.98</v>
      </c>
      <c r="AJ23" t="n">
        <v>13377.69</v>
      </c>
      <c r="AK23" t="n">
        <v>66875.17999999999</v>
      </c>
      <c r="AL23" t="inlineStr">
        <is>
          <t>Edelweiss Mutual Fund, Kotak Mahindra Mutual Fund, Tata Mutual Fund</t>
        </is>
      </c>
      <c r="AM23" t="inlineStr">
        <is>
          <t>https://www.niftyindices.com/indices/equity/strategy-indices/nifty-midcap150-momentum-50</t>
        </is>
      </c>
    </row>
    <row r="24">
      <c r="A24" t="inlineStr">
        <is>
          <t>NIFTY500 MULTICAP 50:25:25</t>
        </is>
      </c>
      <c r="B24" t="n">
        <v>1000</v>
      </c>
      <c r="C24" t="n">
        <v>18552.25</v>
      </c>
      <c r="D24" t="n">
        <v>20.9938</v>
      </c>
      <c r="E24" t="n">
        <v>19.89</v>
      </c>
      <c r="F24" t="n">
        <v>1000</v>
      </c>
      <c r="G24" t="n">
        <v>2754.13</v>
      </c>
      <c r="H24" t="n">
        <v>1668.79</v>
      </c>
      <c r="I24" t="n">
        <v>2977.24</v>
      </c>
      <c r="J24" t="n">
        <v>1758.21</v>
      </c>
      <c r="K24" t="n">
        <v>2791.53</v>
      </c>
      <c r="L24" t="n">
        <v>2241.34</v>
      </c>
      <c r="M24" t="n">
        <v>2902.93</v>
      </c>
      <c r="N24" t="n">
        <v>1319.69</v>
      </c>
      <c r="O24" t="n">
        <v>3482.21</v>
      </c>
      <c r="P24" t="n">
        <v>2781.65</v>
      </c>
      <c r="Q24" t="n">
        <v>5050.68</v>
      </c>
      <c r="R24" t="n">
        <v>3004.01</v>
      </c>
      <c r="S24" t="n">
        <v>4792.72</v>
      </c>
      <c r="T24" t="n">
        <v>2814.27</v>
      </c>
      <c r="U24" t="n">
        <v>6256.93</v>
      </c>
      <c r="V24" t="n">
        <v>2902.93</v>
      </c>
      <c r="W24" t="n">
        <v>7215.43</v>
      </c>
      <c r="X24" t="n">
        <v>3489.3</v>
      </c>
      <c r="Y24" t="n">
        <v>7381.43</v>
      </c>
      <c r="Z24" t="n">
        <v>5122.71</v>
      </c>
      <c r="AA24" t="n">
        <v>5130.27</v>
      </c>
      <c r="AB24" t="n">
        <v>4803.9</v>
      </c>
      <c r="AC24" t="n">
        <v>9741.41</v>
      </c>
      <c r="AD24" t="n">
        <v>6256.93</v>
      </c>
      <c r="AE24" t="n">
        <v>12260.19</v>
      </c>
      <c r="AF24" t="n">
        <v>7215.43</v>
      </c>
      <c r="AG24" t="n">
        <v>12068.74</v>
      </c>
      <c r="AH24" t="n">
        <v>7381.43</v>
      </c>
      <c r="AI24" t="n">
        <v>18095.5</v>
      </c>
      <c r="AJ24" t="n">
        <v>4995.35</v>
      </c>
      <c r="AK24" t="n">
        <v>18828.78</v>
      </c>
      <c r="AL24" t="inlineStr">
        <is>
          <t>HDFC Mutual Fund, Navi Mutual Fund</t>
        </is>
      </c>
      <c r="AM24" t="inlineStr">
        <is>
          <t>https://www.niftyindices.com/indices/equity/broad-based-indices/nifty500-multicap-50-25-25-index</t>
        </is>
      </c>
    </row>
    <row r="25">
      <c r="A25" t="inlineStr">
        <is>
          <t>NIFTY100 EQUAL WEIGHT</t>
        </is>
      </c>
      <c r="B25" t="n">
        <v>2652.85</v>
      </c>
      <c r="C25" t="n">
        <v>42556.49</v>
      </c>
      <c r="D25" t="n">
        <v>20.9938</v>
      </c>
      <c r="E25" t="n">
        <v>20.87</v>
      </c>
      <c r="F25" t="n">
        <v>2652.85</v>
      </c>
      <c r="G25" t="n">
        <v>7517.76</v>
      </c>
      <c r="H25" t="n">
        <v>4162.98</v>
      </c>
      <c r="I25" t="n">
        <v>8050.05</v>
      </c>
      <c r="J25" t="n">
        <v>4211.31</v>
      </c>
      <c r="K25" t="n">
        <v>7660.31</v>
      </c>
      <c r="L25" t="n">
        <v>5343.71</v>
      </c>
      <c r="M25" t="n">
        <v>7946.36</v>
      </c>
      <c r="N25" t="n">
        <v>3299.3</v>
      </c>
      <c r="O25" t="n">
        <v>9642.780000000001</v>
      </c>
      <c r="P25" t="n">
        <v>7560.28</v>
      </c>
      <c r="Q25" t="n">
        <v>13105.8</v>
      </c>
      <c r="R25" t="n">
        <v>8111.9</v>
      </c>
      <c r="S25" t="n">
        <v>12364.77</v>
      </c>
      <c r="T25" t="n">
        <v>7715.51</v>
      </c>
      <c r="U25" t="n">
        <v>15911.33</v>
      </c>
      <c r="V25" t="n">
        <v>7946.36</v>
      </c>
      <c r="W25" t="n">
        <v>17717.62</v>
      </c>
      <c r="X25" t="n">
        <v>9633.27</v>
      </c>
      <c r="Y25" t="n">
        <v>17983.98</v>
      </c>
      <c r="Z25" t="n">
        <v>13256.96</v>
      </c>
      <c r="AA25" t="n">
        <v>12717.64</v>
      </c>
      <c r="AB25" t="n">
        <v>12348.57</v>
      </c>
      <c r="AC25" t="n">
        <v>22914.62</v>
      </c>
      <c r="AD25" t="n">
        <v>15911.33</v>
      </c>
      <c r="AE25" t="n">
        <v>27871.61</v>
      </c>
      <c r="AF25" t="n">
        <v>17717.62</v>
      </c>
      <c r="AG25" t="n">
        <v>26780.81</v>
      </c>
      <c r="AH25" t="n">
        <v>17983.98</v>
      </c>
      <c r="AI25" t="n">
        <v>41530.28</v>
      </c>
      <c r="AJ25" t="n">
        <v>12375.24</v>
      </c>
      <c r="AK25" t="n">
        <v>42490.88</v>
      </c>
      <c r="AL25" t="inlineStr">
        <is>
          <t>HDFC Mutual Fund, Sundaram Mutual Fund</t>
        </is>
      </c>
      <c r="AM25" t="inlineStr">
        <is>
          <t>https://www.niftyindices.com/indices/equity/strategy-indices/nifty-100-equal-weight</t>
        </is>
      </c>
    </row>
    <row r="26">
      <c r="A26" t="inlineStr">
        <is>
          <t>NIFTY200 VALUE 30</t>
        </is>
      </c>
      <c r="B26" t="n">
        <v>1000</v>
      </c>
      <c r="C26" t="n">
        <v>24584.63</v>
      </c>
      <c r="D26" t="n">
        <v>20.9938</v>
      </c>
      <c r="E26" t="n">
        <v>26.2</v>
      </c>
      <c r="F26" t="n">
        <v>1000</v>
      </c>
      <c r="G26" t="n">
        <v>3191.27</v>
      </c>
      <c r="H26" t="n">
        <v>1433.12</v>
      </c>
      <c r="I26" t="n">
        <v>3903.87</v>
      </c>
      <c r="J26" t="n">
        <v>1247.62</v>
      </c>
      <c r="K26" t="n">
        <v>3820.84</v>
      </c>
      <c r="L26" t="n">
        <v>1874.13</v>
      </c>
      <c r="M26" t="n">
        <v>3358.03</v>
      </c>
      <c r="N26" t="n">
        <v>1230.97</v>
      </c>
      <c r="O26" t="n">
        <v>3978.92</v>
      </c>
      <c r="P26" t="n">
        <v>3217.98</v>
      </c>
      <c r="Q26" t="n">
        <v>4976.36</v>
      </c>
      <c r="R26" t="n">
        <v>3940.64</v>
      </c>
      <c r="S26" t="n">
        <v>4172.34</v>
      </c>
      <c r="T26" t="n">
        <v>3846.17</v>
      </c>
      <c r="U26" t="n">
        <v>6579.8</v>
      </c>
      <c r="V26" t="n">
        <v>3358.03</v>
      </c>
      <c r="W26" t="n">
        <v>6725.58</v>
      </c>
      <c r="X26" t="n">
        <v>3936.73</v>
      </c>
      <c r="Y26" t="n">
        <v>6349.87</v>
      </c>
      <c r="Z26" t="n">
        <v>5070.23</v>
      </c>
      <c r="AA26" t="n">
        <v>3451.93</v>
      </c>
      <c r="AB26" t="n">
        <v>4206.55</v>
      </c>
      <c r="AC26" t="n">
        <v>6808.67</v>
      </c>
      <c r="AD26" t="n">
        <v>6579.8</v>
      </c>
      <c r="AE26" t="n">
        <v>9119.139999999999</v>
      </c>
      <c r="AF26" t="n">
        <v>6725.58</v>
      </c>
      <c r="AG26" t="n">
        <v>10485.07</v>
      </c>
      <c r="AH26" t="n">
        <v>6349.87</v>
      </c>
      <c r="AI26" t="n">
        <v>20043.08</v>
      </c>
      <c r="AJ26" t="n">
        <v>3370.45</v>
      </c>
      <c r="AK26" t="n">
        <v>21329.93</v>
      </c>
      <c r="AL26" t="inlineStr">
        <is>
          <t>ICICI Prudential Mutual Fund</t>
        </is>
      </c>
      <c r="AM26" t="inlineStr">
        <is>
          <t>https://www.niftyindices.com/indices/equity/strategy-indices/nifty200-value30</t>
        </is>
      </c>
    </row>
    <row r="27">
      <c r="A27" t="inlineStr">
        <is>
          <t>NIFTY50 VALUE 20</t>
        </is>
      </c>
      <c r="B27" t="n">
        <v>1000</v>
      </c>
      <c r="C27" t="n">
        <v>16201.69</v>
      </c>
      <c r="D27" t="n">
        <v>17.2402</v>
      </c>
      <c r="E27" t="n">
        <v>17.86</v>
      </c>
      <c r="G27" t="n">
        <v>2176.38</v>
      </c>
      <c r="I27" t="n">
        <v>2639.76</v>
      </c>
      <c r="K27" t="n">
        <v>2491.47</v>
      </c>
      <c r="M27" t="n">
        <v>2789.34</v>
      </c>
      <c r="N27" t="n">
        <v>1049.72</v>
      </c>
      <c r="O27" t="n">
        <v>3374.93</v>
      </c>
      <c r="P27" t="n">
        <v>2191.97</v>
      </c>
      <c r="Q27" t="n">
        <v>4172.98</v>
      </c>
      <c r="R27" t="n">
        <v>2632.59</v>
      </c>
      <c r="S27" t="n">
        <v>4061.24</v>
      </c>
      <c r="T27" t="n">
        <v>2497.8</v>
      </c>
      <c r="U27" t="n">
        <v>4638.15</v>
      </c>
      <c r="V27" t="n">
        <v>2789.34</v>
      </c>
      <c r="W27" t="n">
        <v>5334.82</v>
      </c>
      <c r="X27" t="n">
        <v>3388.3</v>
      </c>
      <c r="Y27" t="n">
        <v>6760.94</v>
      </c>
      <c r="Z27" t="n">
        <v>4193.17</v>
      </c>
      <c r="AA27" t="n">
        <v>5449.69</v>
      </c>
      <c r="AB27" t="n">
        <v>4034.03</v>
      </c>
      <c r="AC27" t="n">
        <v>9418.82</v>
      </c>
      <c r="AD27" t="n">
        <v>4638.15</v>
      </c>
      <c r="AE27" t="n">
        <v>11806.22</v>
      </c>
      <c r="AF27" t="n">
        <v>5334.82</v>
      </c>
      <c r="AG27" t="n">
        <v>12163.47</v>
      </c>
      <c r="AH27" t="n">
        <v>6760.94</v>
      </c>
      <c r="AI27" t="n">
        <v>16531.21</v>
      </c>
      <c r="AJ27" t="n">
        <v>5209.95</v>
      </c>
      <c r="AK27" t="n">
        <v>16976.27</v>
      </c>
      <c r="AL27" t="inlineStr">
        <is>
          <t>ICICI Prudential Mutual Fund, Nippon India Mutual Fund</t>
        </is>
      </c>
      <c r="AM27" t="inlineStr">
        <is>
          <t>https://www.niftyindices.com/indices/equity/strategy-indices/nifty-50-value-20</t>
        </is>
      </c>
    </row>
    <row r="28">
      <c r="A28" t="inlineStr">
        <is>
          <t>NIFTY500 EQUAL WEIGHT</t>
        </is>
      </c>
      <c r="B28" t="n">
        <v>1000</v>
      </c>
      <c r="C28" t="n">
        <v>15957.8</v>
      </c>
      <c r="D28" t="n">
        <v>20.9938</v>
      </c>
      <c r="E28" t="n">
        <v>20.73</v>
      </c>
      <c r="F28" t="n">
        <v>1000</v>
      </c>
      <c r="G28" t="n">
        <v>2703</v>
      </c>
      <c r="H28" t="n">
        <v>1657.85</v>
      </c>
      <c r="I28" t="n">
        <v>2852.42</v>
      </c>
      <c r="J28" t="n">
        <v>1602.64</v>
      </c>
      <c r="K28" t="n">
        <v>2635.85</v>
      </c>
      <c r="L28" t="n">
        <v>1955.62</v>
      </c>
      <c r="M28" t="n">
        <v>2497.69</v>
      </c>
      <c r="N28" t="n">
        <v>1091.88</v>
      </c>
      <c r="O28" t="n">
        <v>2945.09</v>
      </c>
      <c r="P28" t="n">
        <v>2744.24</v>
      </c>
      <c r="Q28" t="n">
        <v>4482.78</v>
      </c>
      <c r="R28" t="n">
        <v>2903.75</v>
      </c>
      <c r="S28" t="n">
        <v>4277.71</v>
      </c>
      <c r="T28" t="n">
        <v>2673.57</v>
      </c>
      <c r="U28" t="n">
        <v>5819.95</v>
      </c>
      <c r="V28" t="n">
        <v>2497.69</v>
      </c>
      <c r="W28" t="n">
        <v>6610.52</v>
      </c>
      <c r="X28" t="n">
        <v>2960.14</v>
      </c>
      <c r="Y28" t="n">
        <v>5973.33</v>
      </c>
      <c r="Z28" t="n">
        <v>4566.12</v>
      </c>
      <c r="AA28" t="n">
        <v>3691.95</v>
      </c>
      <c r="AB28" t="n">
        <v>4312.33</v>
      </c>
      <c r="AC28" t="n">
        <v>7699.59</v>
      </c>
      <c r="AD28" t="n">
        <v>5819.95</v>
      </c>
      <c r="AE28" t="n">
        <v>9933.719999999999</v>
      </c>
      <c r="AF28" t="n">
        <v>6610.52</v>
      </c>
      <c r="AG28" t="n">
        <v>9726.959999999999</v>
      </c>
      <c r="AH28" t="n">
        <v>5973.33</v>
      </c>
      <c r="AI28" t="n">
        <v>15945.83</v>
      </c>
      <c r="AJ28" t="n">
        <v>3651.39</v>
      </c>
      <c r="AK28" t="n">
        <v>16361.1</v>
      </c>
      <c r="AL28" t="inlineStr">
        <is>
          <t>Nippon India Mutual Fund</t>
        </is>
      </c>
      <c r="AM28" t="inlineStr">
        <is>
          <t>https://www.niftyindices.com/indices/equity/strategy-indices/nifty500--equal--weight</t>
        </is>
      </c>
    </row>
    <row r="29">
      <c r="A29" t="inlineStr">
        <is>
          <t>NIFTY200 ALPHA 30</t>
        </is>
      </c>
      <c r="B29" t="n">
        <v>1000</v>
      </c>
      <c r="C29" t="n">
        <v>27721.36</v>
      </c>
      <c r="D29" t="n">
        <v>20.9938</v>
      </c>
      <c r="E29" t="n">
        <v>24.31</v>
      </c>
      <c r="F29" t="n">
        <v>1000</v>
      </c>
      <c r="G29" t="n">
        <v>2100.07</v>
      </c>
      <c r="H29" t="n">
        <v>1816.25</v>
      </c>
      <c r="I29" t="n">
        <v>2238.42</v>
      </c>
      <c r="J29" t="n">
        <v>1777.31</v>
      </c>
      <c r="K29" t="n">
        <v>2243.92</v>
      </c>
      <c r="L29" t="n">
        <v>2414.48</v>
      </c>
      <c r="M29" t="n">
        <v>2527.61</v>
      </c>
      <c r="N29" t="n">
        <v>1206.62</v>
      </c>
      <c r="O29" t="n">
        <v>3118.95</v>
      </c>
      <c r="P29" t="n">
        <v>2115.18</v>
      </c>
      <c r="Q29" t="n">
        <v>4914.92</v>
      </c>
      <c r="R29" t="n">
        <v>2239.44</v>
      </c>
      <c r="S29" t="n">
        <v>4880.29</v>
      </c>
      <c r="T29" t="n">
        <v>2266.39</v>
      </c>
      <c r="U29" t="n">
        <v>6883.09</v>
      </c>
      <c r="V29" t="n">
        <v>2527.61</v>
      </c>
      <c r="W29" t="n">
        <v>8464.82</v>
      </c>
      <c r="X29" t="n">
        <v>3150.25</v>
      </c>
      <c r="Y29" t="n">
        <v>8889.209999999999</v>
      </c>
      <c r="Z29" t="n">
        <v>4973.72</v>
      </c>
      <c r="AA29" t="n">
        <v>7340.76</v>
      </c>
      <c r="AB29" t="n">
        <v>4875.52</v>
      </c>
      <c r="AC29" t="n">
        <v>12094.47</v>
      </c>
      <c r="AD29" t="n">
        <v>6883.09</v>
      </c>
      <c r="AE29" t="n">
        <v>17220.91</v>
      </c>
      <c r="AF29" t="n">
        <v>8464.82</v>
      </c>
      <c r="AG29" t="n">
        <v>15598.42</v>
      </c>
      <c r="AH29" t="n">
        <v>8889.209999999999</v>
      </c>
      <c r="AI29" t="n">
        <v>29342.68</v>
      </c>
      <c r="AJ29" t="n">
        <v>7064.86</v>
      </c>
      <c r="AK29" t="n">
        <v>27607.92</v>
      </c>
      <c r="AL29" t="inlineStr">
        <is>
          <t>Tata Mutual Fund</t>
        </is>
      </c>
      <c r="AM29" t="inlineStr">
        <is>
          <t>https://www.niftyindices.com/indices/equity/strategy-indices/nifty200-alpha-30</t>
        </is>
      </c>
    </row>
    <row r="30">
      <c r="A30" t="inlineStr">
        <is>
          <t>NIFTY 200</t>
        </is>
      </c>
      <c r="B30" t="n">
        <v>1171.5</v>
      </c>
      <c r="C30" t="n">
        <v>16699.39</v>
      </c>
      <c r="D30" t="n">
        <v>20.9938</v>
      </c>
      <c r="E30" t="n">
        <v>20.54</v>
      </c>
      <c r="F30" t="n">
        <v>1171.5</v>
      </c>
      <c r="G30" t="n">
        <v>3010.95</v>
      </c>
      <c r="H30" t="n">
        <v>1917.98</v>
      </c>
      <c r="I30" t="n">
        <v>3297.63</v>
      </c>
      <c r="J30" t="n">
        <v>2033.35</v>
      </c>
      <c r="K30" t="n">
        <v>3038.29</v>
      </c>
      <c r="L30" t="n">
        <v>2626.74</v>
      </c>
      <c r="M30" t="n">
        <v>3286.19</v>
      </c>
      <c r="N30" t="n">
        <v>1636.23</v>
      </c>
      <c r="O30" t="n">
        <v>3900.02</v>
      </c>
      <c r="P30" t="n">
        <v>3031.22</v>
      </c>
      <c r="Q30" t="n">
        <v>5192.52</v>
      </c>
      <c r="R30" t="n">
        <v>3302.61</v>
      </c>
      <c r="S30" t="n">
        <v>4832.98</v>
      </c>
      <c r="T30" t="n">
        <v>3054.35</v>
      </c>
      <c r="U30" t="n">
        <v>5992.56</v>
      </c>
      <c r="V30" t="n">
        <v>3286.19</v>
      </c>
      <c r="W30" t="n">
        <v>6818.58</v>
      </c>
      <c r="X30" t="n">
        <v>3905.37</v>
      </c>
      <c r="Y30" t="n">
        <v>7568.22</v>
      </c>
      <c r="Z30" t="n">
        <v>5251.48</v>
      </c>
      <c r="AA30" t="n">
        <v>5572.96</v>
      </c>
      <c r="AB30" t="n">
        <v>4823.14</v>
      </c>
      <c r="AC30" t="n">
        <v>9730.709999999999</v>
      </c>
      <c r="AD30" t="n">
        <v>5992.56</v>
      </c>
      <c r="AE30" t="n">
        <v>11810.19</v>
      </c>
      <c r="AF30" t="n">
        <v>6818.58</v>
      </c>
      <c r="AG30" t="n">
        <v>11681.18</v>
      </c>
      <c r="AH30" t="n">
        <v>7568.22</v>
      </c>
      <c r="AI30" t="n">
        <v>16304.76</v>
      </c>
      <c r="AJ30" t="n">
        <v>5374.22</v>
      </c>
      <c r="AK30" t="n">
        <v>16951.35</v>
      </c>
      <c r="AM30" t="inlineStr">
        <is>
          <t>https://www.niftyindices.com/indices/equity/broad-based-indices/nifty-200</t>
        </is>
      </c>
    </row>
    <row r="31">
      <c r="A31" t="inlineStr">
        <is>
          <t>NIFTY MIDCAP 100</t>
        </is>
      </c>
      <c r="B31" t="n">
        <v>3178.35</v>
      </c>
      <c r="C31" t="n">
        <v>71569.28999999999</v>
      </c>
      <c r="D31" t="n">
        <v>20.9938</v>
      </c>
      <c r="E31" t="n">
        <v>21.3</v>
      </c>
      <c r="F31" t="n">
        <v>3178.35</v>
      </c>
      <c r="G31" t="n">
        <v>8834.32</v>
      </c>
      <c r="H31" t="n">
        <v>5175.1</v>
      </c>
      <c r="I31" t="n">
        <v>9321.950000000001</v>
      </c>
      <c r="J31" t="n">
        <v>5156.98</v>
      </c>
      <c r="K31" t="n">
        <v>9075.07</v>
      </c>
      <c r="L31" t="n">
        <v>6896.34</v>
      </c>
      <c r="M31" t="n">
        <v>8948.16</v>
      </c>
      <c r="N31" t="n">
        <v>3878.35</v>
      </c>
      <c r="O31" t="n">
        <v>10467.99</v>
      </c>
      <c r="P31" t="n">
        <v>8913.65</v>
      </c>
      <c r="Q31" t="n">
        <v>15965.18</v>
      </c>
      <c r="R31" t="n">
        <v>9425.120000000001</v>
      </c>
      <c r="S31" t="n">
        <v>15873.06</v>
      </c>
      <c r="T31" t="n">
        <v>9140.67</v>
      </c>
      <c r="U31" t="n">
        <v>21660.5</v>
      </c>
      <c r="V31" t="n">
        <v>8948.16</v>
      </c>
      <c r="W31" t="n">
        <v>24314.28</v>
      </c>
      <c r="X31" t="n">
        <v>10437.44</v>
      </c>
      <c r="Y31" t="n">
        <v>23532.57</v>
      </c>
      <c r="Z31" t="n">
        <v>16152.34</v>
      </c>
      <c r="AA31" t="n">
        <v>15219.69</v>
      </c>
      <c r="AB31" t="n">
        <v>15922.06</v>
      </c>
      <c r="AC31" t="n">
        <v>31034.74</v>
      </c>
      <c r="AD31" t="n">
        <v>21660.5</v>
      </c>
      <c r="AE31" t="n">
        <v>39306.45</v>
      </c>
      <c r="AF31" t="n">
        <v>24314.28</v>
      </c>
      <c r="AG31" t="n">
        <v>40096.64</v>
      </c>
      <c r="AH31" t="n">
        <v>23532.57</v>
      </c>
      <c r="AI31" t="n">
        <v>65746.94</v>
      </c>
      <c r="AJ31" t="n">
        <v>14916.92</v>
      </c>
      <c r="AK31" t="n">
        <v>69200.61</v>
      </c>
      <c r="AM31" t="inlineStr">
        <is>
          <t>https://www.niftyindices.com/indices/equity/broad-based-indices/NIFTY-Midcap-100</t>
        </is>
      </c>
    </row>
    <row r="32">
      <c r="A32" t="inlineStr">
        <is>
          <t>NIFTY MIDSMALLCAP 400</t>
        </is>
      </c>
      <c r="B32" t="n">
        <v>1000</v>
      </c>
      <c r="C32" t="n">
        <v>22315.09</v>
      </c>
      <c r="D32" t="n">
        <v>20.9938</v>
      </c>
      <c r="E32" t="n">
        <v>20.88</v>
      </c>
      <c r="F32" t="n">
        <v>1000</v>
      </c>
      <c r="G32" t="n">
        <v>2642.98</v>
      </c>
      <c r="H32" t="n">
        <v>1759.14</v>
      </c>
      <c r="I32" t="n">
        <v>2735.11</v>
      </c>
      <c r="J32" t="n">
        <v>1754.2</v>
      </c>
      <c r="K32" t="n">
        <v>2571</v>
      </c>
      <c r="L32" t="n">
        <v>2243.53</v>
      </c>
      <c r="M32" t="n">
        <v>2636.07</v>
      </c>
      <c r="N32" t="n">
        <v>1132.96</v>
      </c>
      <c r="O32" t="n">
        <v>3111.03</v>
      </c>
      <c r="P32" t="n">
        <v>2676.64</v>
      </c>
      <c r="Q32" t="n">
        <v>5002.13</v>
      </c>
      <c r="R32" t="n">
        <v>2777.62</v>
      </c>
      <c r="S32" t="n">
        <v>4847.78</v>
      </c>
      <c r="T32" t="n">
        <v>2598.41</v>
      </c>
      <c r="U32" t="n">
        <v>6706.21</v>
      </c>
      <c r="V32" t="n">
        <v>2636.07</v>
      </c>
      <c r="W32" t="n">
        <v>7865.86</v>
      </c>
      <c r="X32" t="n">
        <v>3109.23</v>
      </c>
      <c r="Y32" t="n">
        <v>7415.06</v>
      </c>
      <c r="Z32" t="n">
        <v>5078.93</v>
      </c>
      <c r="AA32" t="n">
        <v>4912.29</v>
      </c>
      <c r="AB32" t="n">
        <v>4879.7</v>
      </c>
      <c r="AC32" t="n">
        <v>10149.29</v>
      </c>
      <c r="AD32" t="n">
        <v>6706.21</v>
      </c>
      <c r="AE32" t="n">
        <v>13050.34</v>
      </c>
      <c r="AF32" t="n">
        <v>7865.86</v>
      </c>
      <c r="AG32" t="n">
        <v>13041.87</v>
      </c>
      <c r="AH32" t="n">
        <v>7415.06</v>
      </c>
      <c r="AI32" t="n">
        <v>21297.05</v>
      </c>
      <c r="AJ32" t="n">
        <v>4835.08</v>
      </c>
      <c r="AK32" t="n">
        <v>22191.58</v>
      </c>
      <c r="AM32" t="inlineStr">
        <is>
          <t>https://www.niftyindices.com/indices/equity/broad-based-indices/nifty-midsmallcap-400</t>
        </is>
      </c>
    </row>
    <row r="33">
      <c r="A33" t="inlineStr">
        <is>
          <t>NIFTY SMALLCAP 100</t>
        </is>
      </c>
      <c r="B33" t="n">
        <v>1501.99</v>
      </c>
      <c r="C33" t="n">
        <v>19675.32</v>
      </c>
      <c r="D33" t="n">
        <v>20.9938</v>
      </c>
      <c r="E33" t="n">
        <v>25.43</v>
      </c>
      <c r="F33" t="n">
        <v>1501.99</v>
      </c>
      <c r="G33" t="n">
        <v>3954.92</v>
      </c>
      <c r="H33" t="n">
        <v>2704.36</v>
      </c>
      <c r="I33" t="n">
        <v>3958.88</v>
      </c>
      <c r="J33" t="n">
        <v>3066.09</v>
      </c>
      <c r="K33" t="n">
        <v>3786.61</v>
      </c>
      <c r="L33" t="n">
        <v>3965.29</v>
      </c>
      <c r="M33" t="n">
        <v>3626.58</v>
      </c>
      <c r="N33" t="n">
        <v>1732.44</v>
      </c>
      <c r="O33" t="n">
        <v>4247.93</v>
      </c>
      <c r="P33" t="n">
        <v>3998.11</v>
      </c>
      <c r="Q33" t="n">
        <v>6524.85</v>
      </c>
      <c r="R33" t="n">
        <v>4032.14</v>
      </c>
      <c r="S33" t="n">
        <v>5732.33</v>
      </c>
      <c r="T33" t="n">
        <v>3853.52</v>
      </c>
      <c r="U33" t="n">
        <v>8261.209999999999</v>
      </c>
      <c r="V33" t="n">
        <v>3626.58</v>
      </c>
      <c r="W33" t="n">
        <v>9547.940000000001</v>
      </c>
      <c r="X33" t="n">
        <v>4263.61</v>
      </c>
      <c r="Y33" t="n">
        <v>8193.700000000001</v>
      </c>
      <c r="Z33" t="n">
        <v>6632.77</v>
      </c>
      <c r="AA33" t="n">
        <v>4438.25</v>
      </c>
      <c r="AB33" t="n">
        <v>5849.37</v>
      </c>
      <c r="AC33" t="n">
        <v>10094.65</v>
      </c>
      <c r="AD33" t="n">
        <v>8261.209999999999</v>
      </c>
      <c r="AE33" t="n">
        <v>13105.79</v>
      </c>
      <c r="AF33" t="n">
        <v>9547.940000000001</v>
      </c>
      <c r="AG33" t="n">
        <v>11409.49</v>
      </c>
      <c r="AH33" t="n">
        <v>8193.700000000001</v>
      </c>
      <c r="AI33" t="n">
        <v>20130.98</v>
      </c>
      <c r="AJ33" t="n">
        <v>4371.44</v>
      </c>
      <c r="AK33" t="n">
        <v>20550.77</v>
      </c>
      <c r="AM33" t="inlineStr">
        <is>
          <t>https://www.niftyindices.com/indices/equity/broad-based-indices/NIFTY-Smallcap-100</t>
        </is>
      </c>
    </row>
    <row r="34">
      <c r="A34" t="inlineStr">
        <is>
          <t>NIFTY500 LARGEMIDSMALL EQUAL-CAP WEIGHTED</t>
        </is>
      </c>
      <c r="B34" t="n">
        <v>1000</v>
      </c>
      <c r="C34" t="n">
        <v>20286.53</v>
      </c>
      <c r="D34" t="n">
        <v>20.9938</v>
      </c>
      <c r="E34" t="n">
        <v>20.02</v>
      </c>
      <c r="F34" t="n">
        <v>1000</v>
      </c>
      <c r="G34" t="n">
        <v>2807.86</v>
      </c>
      <c r="H34" t="n">
        <v>1682.12</v>
      </c>
      <c r="I34" t="n">
        <v>3030.9</v>
      </c>
      <c r="J34" t="n">
        <v>1762.16</v>
      </c>
      <c r="K34" t="n">
        <v>2854.86</v>
      </c>
      <c r="L34" t="n">
        <v>2233.84</v>
      </c>
      <c r="M34" t="n">
        <v>2921.42</v>
      </c>
      <c r="N34" t="n">
        <v>1282.69</v>
      </c>
      <c r="O34" t="n">
        <v>3507.61</v>
      </c>
      <c r="P34" t="n">
        <v>2839.54</v>
      </c>
      <c r="Q34" t="n">
        <v>5255.02</v>
      </c>
      <c r="R34" t="n">
        <v>3067.35</v>
      </c>
      <c r="S34" t="n">
        <v>5013.97</v>
      </c>
      <c r="T34" t="n">
        <v>2880.95</v>
      </c>
      <c r="U34" t="n">
        <v>6678.87</v>
      </c>
      <c r="V34" t="n">
        <v>2921.42</v>
      </c>
      <c r="W34" t="n">
        <v>7742.59</v>
      </c>
      <c r="X34" t="n">
        <v>3514.71</v>
      </c>
      <c r="Y34" t="n">
        <v>7651.33</v>
      </c>
      <c r="Z34" t="n">
        <v>5335.96</v>
      </c>
      <c r="AA34" t="n">
        <v>5181.01</v>
      </c>
      <c r="AB34" t="n">
        <v>5033.48</v>
      </c>
      <c r="AC34" t="n">
        <v>10146.08</v>
      </c>
      <c r="AD34" t="n">
        <v>6678.87</v>
      </c>
      <c r="AE34" t="n">
        <v>12957.61</v>
      </c>
      <c r="AF34" t="n">
        <v>7742.59</v>
      </c>
      <c r="AG34" t="n">
        <v>12749.12</v>
      </c>
      <c r="AH34" t="n">
        <v>7651.33</v>
      </c>
      <c r="AI34" t="n">
        <v>19726.73</v>
      </c>
      <c r="AJ34" t="n">
        <v>5065.07</v>
      </c>
      <c r="AK34" t="n">
        <v>20523.48</v>
      </c>
      <c r="AM34" t="inlineStr">
        <is>
          <t>https://www.niftyindices.com/indices/equity/broad-based-indices/nifty500-large-midsmall-equal-cap-weighted</t>
        </is>
      </c>
    </row>
    <row r="35">
      <c r="A35" t="inlineStr">
        <is>
          <t>NIFTY ALPHA QUALITY LOW-VOLATILITY 30</t>
        </is>
      </c>
      <c r="B35" t="n">
        <v>1000</v>
      </c>
      <c r="C35" t="n">
        <v>27525.99</v>
      </c>
      <c r="D35" t="n">
        <v>20.9938</v>
      </c>
      <c r="E35" t="n">
        <v>16.8</v>
      </c>
      <c r="F35" t="n">
        <v>1000</v>
      </c>
      <c r="G35" t="n">
        <v>2807.13</v>
      </c>
      <c r="H35" t="n">
        <v>1756.92</v>
      </c>
      <c r="I35" t="n">
        <v>3250.98</v>
      </c>
      <c r="J35" t="n">
        <v>1817.92</v>
      </c>
      <c r="K35" t="n">
        <v>3529.02</v>
      </c>
      <c r="L35" t="n">
        <v>2102.93</v>
      </c>
      <c r="M35" t="n">
        <v>4100.73</v>
      </c>
      <c r="N35" t="n">
        <v>1572.89</v>
      </c>
      <c r="O35" t="n">
        <v>5059.56</v>
      </c>
      <c r="P35" t="n">
        <v>2811.72</v>
      </c>
      <c r="Q35" t="n">
        <v>7563.44</v>
      </c>
      <c r="R35" t="n">
        <v>3258.11</v>
      </c>
      <c r="S35" t="n">
        <v>7321.01</v>
      </c>
      <c r="T35" t="n">
        <v>3543.08</v>
      </c>
      <c r="U35" t="n">
        <v>9287.58</v>
      </c>
      <c r="V35" t="n">
        <v>4100.73</v>
      </c>
      <c r="W35" t="n">
        <v>10811.16</v>
      </c>
      <c r="X35" t="n">
        <v>5075.62</v>
      </c>
      <c r="Y35" t="n">
        <v>11772.32</v>
      </c>
      <c r="Z35" t="n">
        <v>7619.75</v>
      </c>
      <c r="AA35" t="n">
        <v>10015.24</v>
      </c>
      <c r="AB35" t="n">
        <v>7313.36</v>
      </c>
      <c r="AC35" t="n">
        <v>15316.3</v>
      </c>
      <c r="AD35" t="n">
        <v>9287.58</v>
      </c>
      <c r="AE35" t="n">
        <v>18213.98</v>
      </c>
      <c r="AF35" t="n">
        <v>10811.16</v>
      </c>
      <c r="AG35" t="n">
        <v>17959.16</v>
      </c>
      <c r="AH35" t="n">
        <v>11772.32</v>
      </c>
      <c r="AI35" t="n">
        <v>28018.85</v>
      </c>
      <c r="AJ35" t="n">
        <v>9660.219999999999</v>
      </c>
      <c r="AK35" t="n">
        <v>27522.17</v>
      </c>
      <c r="AM35" t="inlineStr">
        <is>
          <t>https://www.niftyindices.com/indices/equity/strategy-indices/nifty-alpha-quality-low-volatility30</t>
        </is>
      </c>
    </row>
    <row r="36">
      <c r="A36" t="inlineStr">
        <is>
          <t>NIFTY ALPHA QUALITY VALUE LOW-VOLATILITY 30</t>
        </is>
      </c>
      <c r="B36" t="n">
        <v>1000</v>
      </c>
      <c r="C36" t="n">
        <v>27809.15</v>
      </c>
      <c r="D36" t="n">
        <v>20.9938</v>
      </c>
      <c r="E36" t="n">
        <v>17.06</v>
      </c>
      <c r="F36" t="n">
        <v>1000</v>
      </c>
      <c r="G36" t="n">
        <v>2644.49</v>
      </c>
      <c r="H36" t="n">
        <v>1593.72</v>
      </c>
      <c r="I36" t="n">
        <v>3098.16</v>
      </c>
      <c r="J36" t="n">
        <v>1563.73</v>
      </c>
      <c r="K36" t="n">
        <v>3228.59</v>
      </c>
      <c r="L36" t="n">
        <v>1875.73</v>
      </c>
      <c r="M36" t="n">
        <v>3657.05</v>
      </c>
      <c r="N36" t="n">
        <v>1388.64</v>
      </c>
      <c r="O36" t="n">
        <v>4424.93</v>
      </c>
      <c r="P36" t="n">
        <v>2649.09</v>
      </c>
      <c r="Q36" t="n">
        <v>6264.84</v>
      </c>
      <c r="R36" t="n">
        <v>3100.24</v>
      </c>
      <c r="S36" t="n">
        <v>6162.77</v>
      </c>
      <c r="T36" t="n">
        <v>3232.79</v>
      </c>
      <c r="U36" t="n">
        <v>7764.42</v>
      </c>
      <c r="V36" t="n">
        <v>3657.05</v>
      </c>
      <c r="W36" t="n">
        <v>9043.030000000001</v>
      </c>
      <c r="X36" t="n">
        <v>4441.97</v>
      </c>
      <c r="Y36" t="n">
        <v>9725.620000000001</v>
      </c>
      <c r="Z36" t="n">
        <v>6306.07</v>
      </c>
      <c r="AA36" t="n">
        <v>8172.46</v>
      </c>
      <c r="AB36" t="n">
        <v>6145.73</v>
      </c>
      <c r="AC36" t="n">
        <v>12599.52</v>
      </c>
      <c r="AD36" t="n">
        <v>7764.42</v>
      </c>
      <c r="AE36" t="n">
        <v>15061.57</v>
      </c>
      <c r="AF36" t="n">
        <v>9043.030000000001</v>
      </c>
      <c r="AG36" t="n">
        <v>16333.72</v>
      </c>
      <c r="AH36" t="n">
        <v>9725.620000000001</v>
      </c>
      <c r="AI36" t="n">
        <v>26933.88</v>
      </c>
      <c r="AJ36" t="n">
        <v>7891.17</v>
      </c>
      <c r="AK36" t="n">
        <v>27913.52</v>
      </c>
      <c r="AM36" t="inlineStr">
        <is>
          <t>https://www.niftyindices.com/indices/equity/strategy-indices/nifty-alpha-quality-value-low-volatility30</t>
        </is>
      </c>
    </row>
    <row r="37">
      <c r="A37" t="inlineStr">
        <is>
          <t>NIFTY HIGH BETA 50</t>
        </is>
      </c>
      <c r="B37" t="n">
        <v>1277.44</v>
      </c>
      <c r="C37" t="n">
        <v>4275.19</v>
      </c>
      <c r="D37" t="n">
        <v>20.9938</v>
      </c>
      <c r="E37" t="n">
        <v>32.25</v>
      </c>
      <c r="F37" t="n">
        <v>1277.44</v>
      </c>
      <c r="G37" t="n">
        <v>2690.56</v>
      </c>
      <c r="H37" t="n">
        <v>1864.63</v>
      </c>
      <c r="I37" t="n">
        <v>2349.37</v>
      </c>
      <c r="J37" t="n">
        <v>1798</v>
      </c>
      <c r="K37" t="n">
        <v>1826.11</v>
      </c>
      <c r="L37" t="n">
        <v>2356.04</v>
      </c>
      <c r="M37" t="n">
        <v>1458.17</v>
      </c>
      <c r="N37" t="n">
        <v>1142.94</v>
      </c>
      <c r="O37" t="n">
        <v>1610.22</v>
      </c>
      <c r="P37" t="n">
        <v>2720.88</v>
      </c>
      <c r="Q37" t="n">
        <v>2029.35</v>
      </c>
      <c r="R37" t="n">
        <v>2415.41</v>
      </c>
      <c r="S37" t="n">
        <v>1585.6</v>
      </c>
      <c r="T37" t="n">
        <v>1856.77</v>
      </c>
      <c r="U37" t="n">
        <v>2206.92</v>
      </c>
      <c r="V37" t="n">
        <v>1458.17</v>
      </c>
      <c r="W37" t="n">
        <v>2427.49</v>
      </c>
      <c r="X37" t="n">
        <v>1601.44</v>
      </c>
      <c r="Y37" t="n">
        <v>2132.39</v>
      </c>
      <c r="Z37" t="n">
        <v>2070.5</v>
      </c>
      <c r="AA37" t="n">
        <v>915.55</v>
      </c>
      <c r="AB37" t="n">
        <v>1617.58</v>
      </c>
      <c r="AC37" t="n">
        <v>2163.56</v>
      </c>
      <c r="AD37" t="n">
        <v>2206.92</v>
      </c>
      <c r="AE37" t="n">
        <v>2633.95</v>
      </c>
      <c r="AF37" t="n">
        <v>2427.49</v>
      </c>
      <c r="AG37" t="n">
        <v>2586.46</v>
      </c>
      <c r="AH37" t="n">
        <v>2132.39</v>
      </c>
      <c r="AI37" t="n">
        <v>4760.47</v>
      </c>
      <c r="AJ37" t="n">
        <v>893.5</v>
      </c>
      <c r="AK37" t="n">
        <v>4242.2</v>
      </c>
      <c r="AM37" t="inlineStr">
        <is>
          <t>https://www.niftyindices.com/indices/equity/strategy-indices/nifty-high-beta50</t>
        </is>
      </c>
    </row>
    <row r="38">
      <c r="A38" t="inlineStr">
        <is>
          <t>NIFTY LOW VOLATILITY 50</t>
        </is>
      </c>
      <c r="B38" t="n">
        <v>1233.5</v>
      </c>
      <c r="C38" t="n">
        <v>31340.61</v>
      </c>
      <c r="D38" t="n">
        <v>20.9938</v>
      </c>
      <c r="E38" t="n">
        <v>16.23</v>
      </c>
      <c r="F38" t="n">
        <v>1233.5</v>
      </c>
      <c r="G38" t="n">
        <v>3968.47</v>
      </c>
      <c r="H38" t="n">
        <v>2297.29</v>
      </c>
      <c r="I38" t="n">
        <v>4664.81</v>
      </c>
      <c r="J38" t="n">
        <v>2262.88</v>
      </c>
      <c r="K38" t="n">
        <v>4603.01</v>
      </c>
      <c r="L38" t="n">
        <v>2817.73</v>
      </c>
      <c r="M38" t="n">
        <v>5118.25</v>
      </c>
      <c r="N38" t="n">
        <v>2062.1</v>
      </c>
      <c r="O38" t="n">
        <v>5932.62</v>
      </c>
      <c r="P38" t="n">
        <v>3972.45</v>
      </c>
      <c r="Q38" t="n">
        <v>8718.5</v>
      </c>
      <c r="R38" t="n">
        <v>4672.02</v>
      </c>
      <c r="S38" t="n">
        <v>8748.33</v>
      </c>
      <c r="T38" t="n">
        <v>4611.54</v>
      </c>
      <c r="U38" t="n">
        <v>10716.19</v>
      </c>
      <c r="V38" t="n">
        <v>5118.25</v>
      </c>
      <c r="W38" t="n">
        <v>12117.31</v>
      </c>
      <c r="X38" t="n">
        <v>5929.2</v>
      </c>
      <c r="Y38" t="n">
        <v>12985.97</v>
      </c>
      <c r="Z38" t="n">
        <v>8803.52</v>
      </c>
      <c r="AA38" t="n">
        <v>11191.8</v>
      </c>
      <c r="AB38" t="n">
        <v>8723.9</v>
      </c>
      <c r="AC38" t="n">
        <v>17835.11</v>
      </c>
      <c r="AD38" t="n">
        <v>10716.19</v>
      </c>
      <c r="AE38" t="n">
        <v>20233.2</v>
      </c>
      <c r="AF38" t="n">
        <v>12117.31</v>
      </c>
      <c r="AG38" t="n">
        <v>20953.08</v>
      </c>
      <c r="AH38" t="n">
        <v>12985.97</v>
      </c>
      <c r="AI38" t="n">
        <v>30047.5</v>
      </c>
      <c r="AJ38" t="n">
        <v>10887.07</v>
      </c>
      <c r="AK38" t="n">
        <v>31990.86</v>
      </c>
      <c r="AM38" t="inlineStr">
        <is>
          <t>https://www.niftyindices.com/indices/equity/strategy-indices/nifty-low-volatility50</t>
        </is>
      </c>
    </row>
    <row r="39">
      <c r="A39" t="inlineStr">
        <is>
          <t>NIFTY MIDSMALLCAP400 MOMENTUM QUALITY 100</t>
        </is>
      </c>
      <c r="B39" t="n">
        <v>1000</v>
      </c>
      <c r="C39" t="n">
        <v>55527.25</v>
      </c>
      <c r="D39" t="n">
        <v>20.9938</v>
      </c>
      <c r="E39" t="n">
        <v>20.15</v>
      </c>
      <c r="F39" t="n">
        <v>1000</v>
      </c>
      <c r="G39" t="n">
        <v>3752.26</v>
      </c>
      <c r="H39" t="n">
        <v>2101.41</v>
      </c>
      <c r="I39" t="n">
        <v>4351.94</v>
      </c>
      <c r="J39" t="n">
        <v>2316.56</v>
      </c>
      <c r="K39" t="n">
        <v>4334.54</v>
      </c>
      <c r="L39" t="n">
        <v>2919.14</v>
      </c>
      <c r="M39" t="n">
        <v>5049.36</v>
      </c>
      <c r="N39" t="n">
        <v>1663.52</v>
      </c>
      <c r="O39" t="n">
        <v>6504.42</v>
      </c>
      <c r="P39" t="n">
        <v>3788.26</v>
      </c>
      <c r="Q39" t="n">
        <v>11469.28</v>
      </c>
      <c r="R39" t="n">
        <v>4399.39</v>
      </c>
      <c r="S39" t="n">
        <v>11083.26</v>
      </c>
      <c r="T39" t="n">
        <v>4368.92</v>
      </c>
      <c r="U39" t="n">
        <v>14981</v>
      </c>
      <c r="V39" t="n">
        <v>5049.36</v>
      </c>
      <c r="W39" t="n">
        <v>18639.77</v>
      </c>
      <c r="X39" t="n">
        <v>6516.31</v>
      </c>
      <c r="Y39" t="n">
        <v>18202.34</v>
      </c>
      <c r="Z39" t="n">
        <v>11657.5</v>
      </c>
      <c r="AA39" t="n">
        <v>13851.43</v>
      </c>
      <c r="AB39" t="n">
        <v>11119.1</v>
      </c>
      <c r="AC39" t="n">
        <v>26256.6</v>
      </c>
      <c r="AD39" t="n">
        <v>14981</v>
      </c>
      <c r="AE39" t="n">
        <v>36041.35</v>
      </c>
      <c r="AF39" t="n">
        <v>18639.77</v>
      </c>
      <c r="AG39" t="n">
        <v>34620.28</v>
      </c>
      <c r="AH39" t="n">
        <v>18202.34</v>
      </c>
      <c r="AI39" t="n">
        <v>56805.59</v>
      </c>
      <c r="AJ39" t="n">
        <v>13607.34</v>
      </c>
      <c r="AK39" t="n">
        <v>56155.64</v>
      </c>
      <c r="AM39" t="inlineStr">
        <is>
          <t>https://www.niftyindices.com/indices/equity/strategy-indices/nifty-midsmallcap400-momentum-quality-100</t>
        </is>
      </c>
    </row>
    <row r="40">
      <c r="A40" t="inlineStr">
        <is>
          <t>NIFTY QUALITY LOW-VOLATILITY 30</t>
        </is>
      </c>
      <c r="B40" t="n">
        <v>1000</v>
      </c>
      <c r="C40" t="n">
        <v>21005.81</v>
      </c>
      <c r="D40" t="n">
        <v>20.9938</v>
      </c>
      <c r="E40" t="n">
        <v>16.07</v>
      </c>
      <c r="F40" t="n">
        <v>1000</v>
      </c>
      <c r="G40" t="n">
        <v>2780</v>
      </c>
      <c r="H40" t="n">
        <v>1767.36</v>
      </c>
      <c r="I40" t="n">
        <v>3258.42</v>
      </c>
      <c r="J40" t="n">
        <v>1800.83</v>
      </c>
      <c r="K40" t="n">
        <v>3627.5</v>
      </c>
      <c r="L40" t="n">
        <v>2034.06</v>
      </c>
      <c r="M40" t="n">
        <v>4148.86</v>
      </c>
      <c r="N40" t="n">
        <v>1560.94</v>
      </c>
      <c r="O40" t="n">
        <v>5237.55</v>
      </c>
      <c r="P40" t="n">
        <v>2779.82</v>
      </c>
      <c r="Q40" t="n">
        <v>7686.2</v>
      </c>
      <c r="R40" t="n">
        <v>3277.48</v>
      </c>
      <c r="S40" t="n">
        <v>7553.13</v>
      </c>
      <c r="T40" t="n">
        <v>3639.61</v>
      </c>
      <c r="U40" t="n">
        <v>8608.01</v>
      </c>
      <c r="V40" t="n">
        <v>4148.86</v>
      </c>
      <c r="W40" t="n">
        <v>9759.799999999999</v>
      </c>
      <c r="X40" t="n">
        <v>5242.92</v>
      </c>
      <c r="Y40" t="n">
        <v>10471.97</v>
      </c>
      <c r="Z40" t="n">
        <v>7726.69</v>
      </c>
      <c r="AA40" t="n">
        <v>8928.959999999999</v>
      </c>
      <c r="AB40" t="n">
        <v>7540.27</v>
      </c>
      <c r="AC40" t="n">
        <v>13620.27</v>
      </c>
      <c r="AD40" t="n">
        <v>8608.01</v>
      </c>
      <c r="AE40" t="n">
        <v>15834.85</v>
      </c>
      <c r="AF40" t="n">
        <v>9759.799999999999</v>
      </c>
      <c r="AG40" t="n">
        <v>16081.84</v>
      </c>
      <c r="AH40" t="n">
        <v>10471.97</v>
      </c>
      <c r="AI40" t="n">
        <v>22071.59</v>
      </c>
      <c r="AJ40" t="n">
        <v>8647.1</v>
      </c>
      <c r="AK40" t="n">
        <v>21990.37</v>
      </c>
      <c r="AM40" t="inlineStr">
        <is>
          <t>https://www.niftyindices.com/indices/equity/strategy-indices/nifty-quality-low-volatility30</t>
        </is>
      </c>
    </row>
    <row r="41">
      <c r="A41" t="inlineStr">
        <is>
          <t>NIFTY SMALLCAP250 MOMENTUM QUALITY 100</t>
        </is>
      </c>
      <c r="B41" t="n">
        <v>1000</v>
      </c>
      <c r="C41" t="n">
        <v>50402.11</v>
      </c>
      <c r="D41" t="n">
        <v>20.9938</v>
      </c>
      <c r="E41" t="n">
        <v>21.72</v>
      </c>
      <c r="F41" t="n">
        <v>1000</v>
      </c>
      <c r="G41" t="n">
        <v>3783.79</v>
      </c>
      <c r="H41" t="n">
        <v>1999.67</v>
      </c>
      <c r="I41" t="n">
        <v>4155.66</v>
      </c>
      <c r="J41" t="n">
        <v>2395.42</v>
      </c>
      <c r="K41" t="n">
        <v>4175.04</v>
      </c>
      <c r="L41" t="n">
        <v>2906.13</v>
      </c>
      <c r="M41" t="n">
        <v>4631.83</v>
      </c>
      <c r="N41" t="n">
        <v>1535.19</v>
      </c>
      <c r="O41" t="n">
        <v>6237.37</v>
      </c>
      <c r="P41" t="n">
        <v>3836.36</v>
      </c>
      <c r="Q41" t="n">
        <v>11076.81</v>
      </c>
      <c r="R41" t="n">
        <v>4225.3</v>
      </c>
      <c r="S41" t="n">
        <v>10785.46</v>
      </c>
      <c r="T41" t="n">
        <v>4216.7</v>
      </c>
      <c r="U41" t="n">
        <v>15830.15</v>
      </c>
      <c r="V41" t="n">
        <v>4631.83</v>
      </c>
      <c r="W41" t="n">
        <v>19684.96</v>
      </c>
      <c r="X41" t="n">
        <v>6249.18</v>
      </c>
      <c r="Y41" t="n">
        <v>18643.74</v>
      </c>
      <c r="Z41" t="n">
        <v>11380.05</v>
      </c>
      <c r="AA41" t="n">
        <v>12209.26</v>
      </c>
      <c r="AB41" t="n">
        <v>10861.68</v>
      </c>
      <c r="AC41" t="n">
        <v>26419.46</v>
      </c>
      <c r="AD41" t="n">
        <v>15830.15</v>
      </c>
      <c r="AE41" t="n">
        <v>37438.34</v>
      </c>
      <c r="AF41" t="n">
        <v>19684.96</v>
      </c>
      <c r="AG41" t="n">
        <v>34948.49</v>
      </c>
      <c r="AH41" t="n">
        <v>18643.74</v>
      </c>
      <c r="AI41" t="n">
        <v>58278.19</v>
      </c>
      <c r="AJ41" t="n">
        <v>12018.16</v>
      </c>
      <c r="AK41" t="n">
        <v>55452.52</v>
      </c>
      <c r="AM41" t="inlineStr">
        <is>
          <t>https://www.niftyindices.com/indices/equity/strategy-indices/nifty-smallcap250-momentum-quality-100</t>
        </is>
      </c>
    </row>
    <row r="42">
      <c r="A42" t="inlineStr">
        <is>
          <t>NIFTY TOP 15 EQUAL WEIGHT</t>
        </is>
      </c>
      <c r="B42" t="n">
        <v>1000</v>
      </c>
      <c r="C42" t="n">
        <v>11864</v>
      </c>
      <c r="D42" t="n">
        <v>20.0767</v>
      </c>
      <c r="E42" t="n">
        <v>21.94</v>
      </c>
      <c r="G42" t="n">
        <v>2038.76</v>
      </c>
      <c r="H42" t="n">
        <v>1081.11</v>
      </c>
      <c r="I42" t="n">
        <v>2360.79</v>
      </c>
      <c r="J42" t="n">
        <v>1242.61</v>
      </c>
      <c r="K42" t="n">
        <v>2175.44</v>
      </c>
      <c r="L42" t="n">
        <v>1634.31</v>
      </c>
      <c r="M42" t="n">
        <v>2425.91</v>
      </c>
      <c r="N42" t="n">
        <v>1126.12</v>
      </c>
      <c r="O42" t="n">
        <v>2993.05</v>
      </c>
      <c r="P42" t="n">
        <v>2054.3</v>
      </c>
      <c r="Q42" t="n">
        <v>3942.11</v>
      </c>
      <c r="R42" t="n">
        <v>2354.88</v>
      </c>
      <c r="S42" t="n">
        <v>3581.06</v>
      </c>
      <c r="T42" t="n">
        <v>2193.88</v>
      </c>
      <c r="U42" t="n">
        <v>4229.04</v>
      </c>
      <c r="V42" t="n">
        <v>2425.91</v>
      </c>
      <c r="W42" t="n">
        <v>4728.23</v>
      </c>
      <c r="X42" t="n">
        <v>3002.26</v>
      </c>
      <c r="Y42" t="n">
        <v>5706.12</v>
      </c>
      <c r="Z42" t="n">
        <v>3989.77</v>
      </c>
      <c r="AA42" t="n">
        <v>4098.77</v>
      </c>
      <c r="AB42" t="n">
        <v>3576.79</v>
      </c>
      <c r="AC42" t="n">
        <v>7082.28</v>
      </c>
      <c r="AD42" t="n">
        <v>4229.04</v>
      </c>
      <c r="AE42" t="n">
        <v>8455.559999999999</v>
      </c>
      <c r="AF42" t="n">
        <v>4728.23</v>
      </c>
      <c r="AG42" t="n">
        <v>9105.98</v>
      </c>
      <c r="AH42" t="n">
        <v>5706.12</v>
      </c>
      <c r="AI42" t="n">
        <v>11493.94</v>
      </c>
      <c r="AJ42" t="n">
        <v>3909.95</v>
      </c>
      <c r="AK42" t="n">
        <v>12317.4</v>
      </c>
      <c r="AM42" t="inlineStr">
        <is>
          <t>https://www.niftyindices.com/indices/equity/strategy-indices/nifty-top15-equal-weight</t>
        </is>
      </c>
    </row>
    <row r="43">
      <c r="A43" t="inlineStr">
        <is>
          <t>NIFTY TOP 20 EQUAL WEIGHT</t>
        </is>
      </c>
      <c r="B43" t="n">
        <v>1000</v>
      </c>
      <c r="C43" t="n">
        <v>10737.43</v>
      </c>
      <c r="D43" t="n">
        <v>20.0767</v>
      </c>
      <c r="E43" t="n">
        <v>21.54</v>
      </c>
      <c r="G43" t="n">
        <v>1927.02</v>
      </c>
      <c r="H43" t="n">
        <v>1074.7</v>
      </c>
      <c r="I43" t="n">
        <v>2229.89</v>
      </c>
      <c r="J43" t="n">
        <v>1177.79</v>
      </c>
      <c r="K43" t="n">
        <v>2059.91</v>
      </c>
      <c r="L43" t="n">
        <v>1565.19</v>
      </c>
      <c r="M43" t="n">
        <v>2193.49</v>
      </c>
      <c r="N43" t="n">
        <v>1053.98</v>
      </c>
      <c r="O43" t="n">
        <v>2639.04</v>
      </c>
      <c r="P43" t="n">
        <v>1936.77</v>
      </c>
      <c r="Q43" t="n">
        <v>3475.21</v>
      </c>
      <c r="R43" t="n">
        <v>2224.46</v>
      </c>
      <c r="S43" t="n">
        <v>3126.74</v>
      </c>
      <c r="T43" t="n">
        <v>2071.51</v>
      </c>
      <c r="U43" t="n">
        <v>3738.19</v>
      </c>
      <c r="V43" t="n">
        <v>2193.49</v>
      </c>
      <c r="W43" t="n">
        <v>4235.31</v>
      </c>
      <c r="X43" t="n">
        <v>2645.19</v>
      </c>
      <c r="Y43" t="n">
        <v>4812.26</v>
      </c>
      <c r="Z43" t="n">
        <v>3527.7</v>
      </c>
      <c r="AA43" t="n">
        <v>3581.26</v>
      </c>
      <c r="AB43" t="n">
        <v>3112.08</v>
      </c>
      <c r="AC43" t="n">
        <v>6329.22</v>
      </c>
      <c r="AD43" t="n">
        <v>3738.19</v>
      </c>
      <c r="AE43" t="n">
        <v>7412.45</v>
      </c>
      <c r="AF43" t="n">
        <v>4235.31</v>
      </c>
      <c r="AG43" t="n">
        <v>7956.08</v>
      </c>
      <c r="AH43" t="n">
        <v>4812.26</v>
      </c>
      <c r="AI43" t="n">
        <v>10552.22</v>
      </c>
      <c r="AJ43" t="n">
        <v>3425.06</v>
      </c>
      <c r="AK43" t="n">
        <v>11133.89</v>
      </c>
      <c r="AM43" t="inlineStr">
        <is>
          <t>https://www.niftyindices.com/indices/equity/strategy-indices/nifty-top20-equal-weight</t>
        </is>
      </c>
    </row>
    <row r="44">
      <c r="A44" t="inlineStr">
        <is>
          <t>NIFTY100 ALPHA 30</t>
        </is>
      </c>
      <c r="B44" t="n">
        <v>1000</v>
      </c>
      <c r="C44" t="n">
        <v>20211.59</v>
      </c>
      <c r="D44" t="n">
        <v>20.9938</v>
      </c>
      <c r="E44" t="n">
        <v>22.11</v>
      </c>
      <c r="F44" t="n">
        <v>1000</v>
      </c>
      <c r="G44" t="n">
        <v>2160.82</v>
      </c>
      <c r="H44" t="n">
        <v>1767.4</v>
      </c>
      <c r="I44" t="n">
        <v>2516.82</v>
      </c>
      <c r="J44" t="n">
        <v>1960.1</v>
      </c>
      <c r="K44" t="n">
        <v>2518.61</v>
      </c>
      <c r="L44" t="n">
        <v>2599.04</v>
      </c>
      <c r="M44" t="n">
        <v>2939.2</v>
      </c>
      <c r="N44" t="n">
        <v>1305.46</v>
      </c>
      <c r="O44" t="n">
        <v>3364</v>
      </c>
      <c r="P44" t="n">
        <v>2178.44</v>
      </c>
      <c r="Q44" t="n">
        <v>4961.73</v>
      </c>
      <c r="R44" t="n">
        <v>2515.68</v>
      </c>
      <c r="S44" t="n">
        <v>4809.67</v>
      </c>
      <c r="T44" t="n">
        <v>2536.95</v>
      </c>
      <c r="U44" t="n">
        <v>6519.46</v>
      </c>
      <c r="V44" t="n">
        <v>2939.2</v>
      </c>
      <c r="W44" t="n">
        <v>7641.13</v>
      </c>
      <c r="X44" t="n">
        <v>3384.05</v>
      </c>
      <c r="Y44" t="n">
        <v>8547.91</v>
      </c>
      <c r="Z44" t="n">
        <v>5024.59</v>
      </c>
      <c r="AA44" t="n">
        <v>7502.03</v>
      </c>
      <c r="AB44" t="n">
        <v>4797.17</v>
      </c>
      <c r="AC44" t="n">
        <v>11504.39</v>
      </c>
      <c r="AD44" t="n">
        <v>6519.46</v>
      </c>
      <c r="AE44" t="n">
        <v>16054.19</v>
      </c>
      <c r="AF44" t="n">
        <v>7641.13</v>
      </c>
      <c r="AG44" t="n">
        <v>12756.21</v>
      </c>
      <c r="AH44" t="n">
        <v>8547.91</v>
      </c>
      <c r="AI44" t="n">
        <v>22332.21</v>
      </c>
      <c r="AJ44" t="n">
        <v>7225.57</v>
      </c>
      <c r="AK44" t="n">
        <v>20897.12</v>
      </c>
      <c r="AM44" t="inlineStr">
        <is>
          <t>https://www.niftyindices.com/indices/equity/strategy-indices/nifty100-alpha30</t>
        </is>
      </c>
    </row>
    <row r="45">
      <c r="A45" t="inlineStr">
        <is>
          <t>NIFTY500 LOW VOLATILITY 50</t>
        </is>
      </c>
      <c r="B45" t="n">
        <v>1000</v>
      </c>
      <c r="C45" t="n">
        <v>28176.06</v>
      </c>
      <c r="D45" t="n">
        <v>20.9938</v>
      </c>
      <c r="E45" t="n">
        <v>16.16</v>
      </c>
      <c r="F45" t="n">
        <v>1000</v>
      </c>
      <c r="G45" t="n">
        <v>3443.56</v>
      </c>
      <c r="H45" t="n">
        <v>1793.67</v>
      </c>
      <c r="I45" t="n">
        <v>3930.23</v>
      </c>
      <c r="J45" t="n">
        <v>1878.16</v>
      </c>
      <c r="K45" t="n">
        <v>3816.29</v>
      </c>
      <c r="L45" t="n">
        <v>2397.06</v>
      </c>
      <c r="M45" t="n">
        <v>4276.04</v>
      </c>
      <c r="N45" t="n">
        <v>1815.75</v>
      </c>
      <c r="O45" t="n">
        <v>5027.57</v>
      </c>
      <c r="P45" t="n">
        <v>3454.81</v>
      </c>
      <c r="Q45" t="n">
        <v>6942.63</v>
      </c>
      <c r="R45" t="n">
        <v>3925.47</v>
      </c>
      <c r="S45" t="n">
        <v>6730.61</v>
      </c>
      <c r="T45" t="n">
        <v>3822.95</v>
      </c>
      <c r="U45" t="n">
        <v>8064.79</v>
      </c>
      <c r="V45" t="n">
        <v>4276.04</v>
      </c>
      <c r="W45" t="n">
        <v>9336.49</v>
      </c>
      <c r="X45" t="n">
        <v>5036.42</v>
      </c>
      <c r="Y45" t="n">
        <v>10347.29</v>
      </c>
      <c r="Z45" t="n">
        <v>7014.65</v>
      </c>
      <c r="AA45" t="n">
        <v>9019</v>
      </c>
      <c r="AB45" t="n">
        <v>6729.29</v>
      </c>
      <c r="AC45" t="n">
        <v>14061.12</v>
      </c>
      <c r="AD45" t="n">
        <v>8064.79</v>
      </c>
      <c r="AE45" t="n">
        <v>15857.66</v>
      </c>
      <c r="AF45" t="n">
        <v>9336.49</v>
      </c>
      <c r="AG45" t="n">
        <v>17192.95</v>
      </c>
      <c r="AH45" t="n">
        <v>10347.29</v>
      </c>
      <c r="AI45" t="n">
        <v>25165.55</v>
      </c>
      <c r="AJ45" t="n">
        <v>8694.299999999999</v>
      </c>
      <c r="AK45" t="n">
        <v>26929.59</v>
      </c>
      <c r="AM45" t="inlineStr">
        <is>
          <t>https://www.niftyindices.com/indices/equity/strategy-indices/nifty500-low--volatility-50</t>
        </is>
      </c>
    </row>
    <row r="46">
      <c r="A46" t="inlineStr">
        <is>
          <t>NIFTY500 QUALITY 50</t>
        </is>
      </c>
      <c r="B46" t="n">
        <v>1000</v>
      </c>
      <c r="C46" t="n">
        <v>23717.12</v>
      </c>
      <c r="D46" t="n">
        <v>20.9938</v>
      </c>
      <c r="E46" t="n">
        <v>18.25</v>
      </c>
      <c r="F46" t="n">
        <v>1000</v>
      </c>
      <c r="G46" t="n">
        <v>2944.13</v>
      </c>
      <c r="H46" t="n">
        <v>1683.83</v>
      </c>
      <c r="I46" t="n">
        <v>3277.48</v>
      </c>
      <c r="J46" t="n">
        <v>1612.5</v>
      </c>
      <c r="K46" t="n">
        <v>3341.42</v>
      </c>
      <c r="L46" t="n">
        <v>1897.09</v>
      </c>
      <c r="M46" t="n">
        <v>3708.16</v>
      </c>
      <c r="N46" t="n">
        <v>1333.76</v>
      </c>
      <c r="O46" t="n">
        <v>4730.53</v>
      </c>
      <c r="P46" t="n">
        <v>2958.51</v>
      </c>
      <c r="Q46" t="n">
        <v>7157.63</v>
      </c>
      <c r="R46" t="n">
        <v>3282.31</v>
      </c>
      <c r="S46" t="n">
        <v>7046.58</v>
      </c>
      <c r="T46" t="n">
        <v>3357.29</v>
      </c>
      <c r="U46" t="n">
        <v>8127.46</v>
      </c>
      <c r="V46" t="n">
        <v>3708.16</v>
      </c>
      <c r="W46" t="n">
        <v>9569.35</v>
      </c>
      <c r="X46" t="n">
        <v>4736.24</v>
      </c>
      <c r="Y46" t="n">
        <v>9915.4</v>
      </c>
      <c r="Z46" t="n">
        <v>7219.77</v>
      </c>
      <c r="AA46" t="n">
        <v>7805.71</v>
      </c>
      <c r="AB46" t="n">
        <v>7040.1</v>
      </c>
      <c r="AC46" t="n">
        <v>13011.56</v>
      </c>
      <c r="AD46" t="n">
        <v>8127.46</v>
      </c>
      <c r="AE46" t="n">
        <v>15489.51</v>
      </c>
      <c r="AF46" t="n">
        <v>9569.35</v>
      </c>
      <c r="AG46" t="n">
        <v>14749.58</v>
      </c>
      <c r="AH46" t="n">
        <v>9915.4</v>
      </c>
      <c r="AI46" t="n">
        <v>22976</v>
      </c>
      <c r="AJ46" t="n">
        <v>7583.42</v>
      </c>
      <c r="AK46" t="n">
        <v>24150.25</v>
      </c>
      <c r="AM46" t="inlineStr">
        <is>
          <t>https://www.niftyindices.com/indices/equity/strategy-indices/nifty500--quality-50</t>
        </is>
      </c>
    </row>
  </sheetData>
  <autoFilter ref="A1:AL46">
    <sortState ref="A2:AL46">
      <sortCondition ref="AL1:AL46"/>
    </sortState>
  </autoFilter>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6"/>
  <sheetViews>
    <sheetView tabSelected="1" workbookViewId="0">
      <pane xSplit="1" ySplit="1" topLeftCell="Y2" activePane="bottomRight" state="frozen"/>
      <selection pane="topRight" activeCell="A1" sqref="A1"/>
      <selection pane="bottomLeft" activeCell="A1" sqref="A1"/>
      <selection pane="bottomRight" activeCell="Y3" sqref="Y3"/>
    </sheetView>
  </sheetViews>
  <sheetFormatPr baseColWidth="8" defaultRowHeight="14.5"/>
  <cols>
    <col width="44.6328125" bestFit="1" customWidth="1" min="1" max="1"/>
    <col width="13.1796875" bestFit="1" customWidth="1" min="2" max="2"/>
    <col width="14.90625" bestFit="1" customWidth="1" min="3" max="3"/>
    <col width="16.54296875" bestFit="1" customWidth="1" min="4" max="4"/>
    <col width="30.26953125" bestFit="1" customWidth="1" min="5" max="5"/>
    <col width="10.54296875" bestFit="1" customWidth="1" min="6" max="14"/>
    <col width="11.54296875" bestFit="1" customWidth="1" min="15" max="21"/>
    <col width="12.1796875" bestFit="1" customWidth="1" min="22" max="23"/>
    <col width="13" bestFit="1" customWidth="1" min="24" max="24"/>
    <col width="255.6328125" bestFit="1" customWidth="1" min="25" max="25"/>
    <col width="14" customWidth="1" min="26" max="26"/>
  </cols>
  <sheetData>
    <row r="1" ht="43.5" customHeight="1">
      <c r="A1" s="2" t="inlineStr">
        <is>
          <t>Index Name</t>
        </is>
      </c>
      <c r="B1" s="2" t="inlineStr">
        <is>
          <t>CAGR (%)</t>
        </is>
      </c>
      <c r="C1" s="2" t="inlineStr">
        <is>
          <t>Std Dev (%)</t>
        </is>
      </c>
      <c r="D1" s="2" t="inlineStr">
        <is>
          <t>Years of Data</t>
        </is>
      </c>
      <c r="E1" s="2" t="inlineStr">
        <is>
          <t>Average 5 Year Rolling Return (%)</t>
        </is>
      </c>
      <c r="F1" s="2" t="inlineStr">
        <is>
          <t>Year 1</t>
        </is>
      </c>
      <c r="G1" s="2" t="inlineStr">
        <is>
          <t>Year 2</t>
        </is>
      </c>
      <c r="H1" s="2" t="inlineStr">
        <is>
          <t>Year 3</t>
        </is>
      </c>
      <c r="I1" s="2" t="inlineStr">
        <is>
          <t>Year 4</t>
        </is>
      </c>
      <c r="J1" s="2" t="inlineStr">
        <is>
          <t>Year 5</t>
        </is>
      </c>
      <c r="K1" s="2" t="inlineStr">
        <is>
          <t>Year 6</t>
        </is>
      </c>
      <c r="L1" s="2" t="inlineStr">
        <is>
          <t>Year 7</t>
        </is>
      </c>
      <c r="M1" s="2" t="inlineStr">
        <is>
          <t>Year 8</t>
        </is>
      </c>
      <c r="N1" s="2" t="inlineStr">
        <is>
          <t>Year 9</t>
        </is>
      </c>
      <c r="O1" s="2" t="inlineStr">
        <is>
          <t>Year 10</t>
        </is>
      </c>
      <c r="P1" s="2" t="inlineStr">
        <is>
          <t>Year 11</t>
        </is>
      </c>
      <c r="Q1" s="2" t="inlineStr">
        <is>
          <t>Year 12</t>
        </is>
      </c>
      <c r="R1" s="2" t="inlineStr">
        <is>
          <t>Year 13</t>
        </is>
      </c>
      <c r="S1" s="2" t="inlineStr">
        <is>
          <t>Year 14</t>
        </is>
      </c>
      <c r="T1" s="2" t="inlineStr">
        <is>
          <t>Year 15</t>
        </is>
      </c>
      <c r="U1" s="2" t="inlineStr">
        <is>
          <t>Year 16</t>
        </is>
      </c>
      <c r="V1" s="2" t="inlineStr">
        <is>
          <t>Top Quartile Count</t>
        </is>
      </c>
      <c r="W1" s="2" t="inlineStr">
        <is>
          <t>Bottom Quartile Count</t>
        </is>
      </c>
      <c r="X1" s="2" t="inlineStr">
        <is>
          <t>Top/Bottom</t>
        </is>
      </c>
      <c r="Y1" s="2" t="inlineStr">
        <is>
          <t>AMCs</t>
        </is>
      </c>
      <c r="Z1" s="2" t="inlineStr">
        <is>
          <t>Source</t>
        </is>
      </c>
    </row>
    <row r="2">
      <c r="A2">
        <f>'Raw Data 5Y'!A21</f>
        <v/>
      </c>
      <c r="B2" s="3">
        <f>IFERROR((('Raw Data 5Y'!C21/'Raw Data 5Y'!B21)^(1/'Raw Data 5Y'!D21)-1)*100,"")</f>
        <v/>
      </c>
      <c r="C2" s="3">
        <f>'Raw Data 5Y'!E21</f>
        <v/>
      </c>
      <c r="D2" s="3">
        <f>INT('Raw Data 5Y'!D21)</f>
        <v/>
      </c>
      <c r="E2" s="3">
        <f>IFERROR(AVERAGE(F2:U2),"")</f>
        <v/>
      </c>
      <c r="F2" s="3">
        <f>IFERROR((('Raw Data 5Y'!G21/'Raw Data 5Y'!F21)^(1/5)-1)*100,"")</f>
        <v/>
      </c>
      <c r="G2" s="3">
        <f>IFERROR((('Raw Data 5Y'!I21/'Raw Data 5Y'!H21)^(1/5)-1)*100,"")</f>
        <v/>
      </c>
      <c r="H2" s="3">
        <f>IFERROR((('Raw Data 5Y'!K21/'Raw Data 5Y'!J21)^(1/5)-1)*100,"")</f>
        <v/>
      </c>
      <c r="I2" s="3">
        <f>IFERROR((('Raw Data 5Y'!M21/'Raw Data 5Y'!L21)^(1/5)-1)*100,"")</f>
        <v/>
      </c>
      <c r="J2" s="3">
        <f>IFERROR((('Raw Data 5Y'!O21/'Raw Data 5Y'!N21)^(1/5)-1)*100,"")</f>
        <v/>
      </c>
      <c r="K2" s="3">
        <f>IFERROR((('Raw Data 5Y'!Q21/'Raw Data 5Y'!P21)^(1/5)-1)*100,"")</f>
        <v/>
      </c>
      <c r="L2" s="3">
        <f>IFERROR((('Raw Data 5Y'!S21/'Raw Data 5Y'!R21)^(1/5)-1)*100,"")</f>
        <v/>
      </c>
      <c r="M2" s="3">
        <f>IFERROR((('Raw Data 5Y'!U21/'Raw Data 5Y'!T21)^(1/5)-1)*100,"")</f>
        <v/>
      </c>
      <c r="N2" s="3">
        <f>IFERROR((('Raw Data 5Y'!W21/'Raw Data 5Y'!V21)^(1/5)-1)*100,"")</f>
        <v/>
      </c>
      <c r="O2" s="3">
        <f>IFERROR((('Raw Data 5Y'!Y21/'Raw Data 5Y'!X21)^(1/5)-1)*100,"")</f>
        <v/>
      </c>
      <c r="P2" s="3">
        <f>IFERROR((('Raw Data 5Y'!AA21/'Raw Data 5Y'!Z21)^(1/5)-1)*100,"")</f>
        <v/>
      </c>
      <c r="Q2" s="3">
        <f>IFERROR((('Raw Data 5Y'!AC21/'Raw Data 5Y'!AB21)^(1/5)-1)*100,"")</f>
        <v/>
      </c>
      <c r="R2" s="3">
        <f>IFERROR((('Raw Data 5Y'!AE21/'Raw Data 5Y'!AD21)^(1/5)-1)*100,"")</f>
        <v/>
      </c>
      <c r="S2" s="3">
        <f>IFERROR((('Raw Data 5Y'!AG21/'Raw Data 5Y'!AF21)^(1/5)-1)*100,"")</f>
        <v/>
      </c>
      <c r="T2" s="3">
        <f>IFERROR((('Raw Data 5Y'!AI21/'Raw Data 5Y'!AH21)^(1/5)-1)*100,"")</f>
        <v/>
      </c>
      <c r="U2" s="3">
        <f>IFERROR((('Raw Data 5Y'!AK21/'Raw Data 5Y'!AJ21)^(1/5)-1)*100,"")</f>
        <v/>
      </c>
      <c r="V2" s="3">
        <f>IF(AND(ISNUMBER(F2),COUNT(F$2:F$46)&gt;=4),IF(F2&gt;=QUARTILE(F$2:F$46,3),1,0),0)+IF(AND(ISNUMBER(G2),COUNT(G$2:G$46)&gt;=4),IF(G2&gt;=QUARTILE(G$2:G$46,3),1,0),0)+IF(AND(ISNUMBER(H2),COUNT(H$2:H$46)&gt;=4),IF(H2&gt;=QUARTILE(H$2:H$46,3),1,0),0)+IF(AND(ISNUMBER(I2),COUNT(I$2:I$46)&gt;=4),IF(I2&gt;=QUARTILE(I$2:I$46,3),1,0),0)+IF(AND(ISNUMBER(J2),COUNT(J$2:J$46)&gt;=4),IF(J2&gt;=QUARTILE(J$2:J$46,3),1,0),0)+IF(AND(ISNUMBER(K2),COUNT(K$2:K$46)&gt;=4),IF(K2&gt;=QUARTILE(K$2:K$46,3),1,0),0)+IF(AND(ISNUMBER(L2),COUNT(L$2:L$46)&gt;=4),IF(L2&gt;=QUARTILE(L$2:L$46,3),1,0),0)+IF(AND(ISNUMBER(M2),COUNT(M$2:M$46)&gt;=4),IF(M2&gt;=QUARTILE(M$2:M$46,3),1,0),0)+IF(AND(ISNUMBER(N2),COUNT(N$2:N$46)&gt;=4),IF(N2&gt;=QUARTILE(N$2:N$46,3),1,0),0)+IF(AND(ISNUMBER(O2),COUNT(O$2:O$46)&gt;=4),IF(O2&gt;=QUARTILE(O$2:O$46,3),1,0),0)+IF(AND(ISNUMBER(P2),COUNT(P$2:P$46)&gt;=4),IF(P2&gt;=QUARTILE(P$2:P$46,3),1,0),0)+IF(AND(ISNUMBER(Q2),COUNT(Q$2:Q$46)&gt;=4),IF(Q2&gt;=QUARTILE(Q$2:Q$46,3),1,0),0)+IF(AND(ISNUMBER(R2),COUNT(R$2:R$46)&gt;=4),IF(R2&gt;=QUARTILE(R$2:R$46,3),1,0),0)+IF(AND(ISNUMBER(S2),COUNT(S$2:S$46)&gt;=4),IF(S2&gt;=QUARTILE(S$2:S$46,3),1,0),0)+IF(AND(ISNUMBER(T2),COUNT(T$2:T$46)&gt;=4),IF(T2&gt;=QUARTILE(T$2:T$46,3),1,0),0)+IF(AND(ISNUMBER(U2),COUNT(U$2:U$46)&gt;=4),IF(U2&gt;=QUARTILE(U$2:U$46,3),1,0),0)</f>
        <v/>
      </c>
      <c r="W2" s="3">
        <f>IF(AND(ISNUMBER(F2),COUNT(F$2:F$46)&gt;=4),IF(F2&lt;=QUARTILE(F$2:F$46,1),1,0),0)+IF(AND(ISNUMBER(G2),COUNT(G$2:G$46)&gt;=4),IF(G2&lt;=QUARTILE(G$2:G$46,1),1,0),0)+IF(AND(ISNUMBER(H2),COUNT(H$2:H$46)&gt;=4),IF(H2&lt;=QUARTILE(H$2:H$46,1),1,0),0)+IF(AND(ISNUMBER(I2),COUNT(I$2:I$46)&gt;=4),IF(I2&lt;=QUARTILE(I$2:I$46,1),1,0),0)+IF(AND(ISNUMBER(J2),COUNT(J$2:J$46)&gt;=4),IF(J2&lt;=QUARTILE(J$2:J$46,1),1,0),0)+IF(AND(ISNUMBER(K2),COUNT(K$2:K$46)&gt;=4),IF(K2&lt;=QUARTILE(K$2:K$46,1),1,0),0)+IF(AND(ISNUMBER(L2),COUNT(L$2:L$46)&gt;=4),IF(L2&lt;=QUARTILE(L$2:L$46,1),1,0),0)+IF(AND(ISNUMBER(M2),COUNT(M$2:M$46)&gt;=4),IF(M2&lt;=QUARTILE(M$2:M$46,1),1,0),0)+IF(AND(ISNUMBER(N2),COUNT(N$2:N$46)&gt;=4),IF(N2&lt;=QUARTILE(N$2:N$46,1),1,0),0)+IF(AND(ISNUMBER(O2),COUNT(O$2:O$46)&gt;=4),IF(O2&lt;=QUARTILE(O$2:O$46,1),1,0),0)+IF(AND(ISNUMBER(P2),COUNT(P$2:P$46)&gt;=4),IF(P2&lt;=QUARTILE(P$2:P$46,1),1,0),0)+IF(AND(ISNUMBER(Q2),COUNT(Q$2:Q$46)&gt;=4),IF(Q2&lt;=QUARTILE(Q$2:Q$46,1),1,0),0)+IF(AND(ISNUMBER(R2),COUNT(R$2:R$46)&gt;=4),IF(R2&lt;=QUARTILE(R$2:R$46,1),1,0),0)+IF(AND(ISNUMBER(S2),COUNT(S$2:S$46)&gt;=4),IF(S2&lt;=QUARTILE(S$2:S$46,1),1,0),0)+IF(AND(ISNUMBER(T2),COUNT(T$2:T$46)&gt;=4),IF(T2&lt;=QUARTILE(T$2:T$46,1),1,0),0)+IF(AND(ISNUMBER(U2),COUNT(U$2:U$46)&gt;=4),IF(U2&lt;=QUARTILE(U$2:U$46,1),1,0),0)</f>
        <v/>
      </c>
      <c r="X2" s="3">
        <f>IF(W2=0,V2,ROUND(V2/W2,2))</f>
        <v/>
      </c>
      <c r="Y2" s="3">
        <f>IFERROR(IF(VLOOKUP(A2,'Raw Data 5Y'!A:AL,38,FALSE)="","none",VLOOKUP(A2,'Raw Data 5Y'!A:AL,38,FALSE)),"none")</f>
        <v/>
      </c>
      <c r="Z2" s="4" t="inlineStr">
        <is>
          <t>Source</t>
        </is>
      </c>
    </row>
    <row r="3">
      <c r="A3">
        <f>'Raw Data 5Y'!A23</f>
        <v/>
      </c>
      <c r="B3" s="3">
        <f>IFERROR((('Raw Data 5Y'!C23/'Raw Data 5Y'!B23)^(1/'Raw Data 5Y'!D23)-1)*100,"")</f>
        <v/>
      </c>
      <c r="C3" s="3">
        <f>'Raw Data 5Y'!E23</f>
        <v/>
      </c>
      <c r="D3" s="3">
        <f>INT('Raw Data 5Y'!D23)</f>
        <v/>
      </c>
      <c r="E3" s="3">
        <f>IFERROR(AVERAGE(F3:U3),"")</f>
        <v/>
      </c>
      <c r="F3" s="3">
        <f>IFERROR((('Raw Data 5Y'!G23/'Raw Data 5Y'!F23)^(1/5)-1)*100,"")</f>
        <v/>
      </c>
      <c r="G3" s="3">
        <f>IFERROR((('Raw Data 5Y'!I23/'Raw Data 5Y'!H23)^(1/5)-1)*100,"")</f>
        <v/>
      </c>
      <c r="H3" s="3">
        <f>IFERROR((('Raw Data 5Y'!K23/'Raw Data 5Y'!J23)^(1/5)-1)*100,"")</f>
        <v/>
      </c>
      <c r="I3" s="3">
        <f>IFERROR((('Raw Data 5Y'!M23/'Raw Data 5Y'!L23)^(1/5)-1)*100,"")</f>
        <v/>
      </c>
      <c r="J3" s="3">
        <f>IFERROR((('Raw Data 5Y'!O23/'Raw Data 5Y'!N23)^(1/5)-1)*100,"")</f>
        <v/>
      </c>
      <c r="K3" s="3">
        <f>IFERROR((('Raw Data 5Y'!Q23/'Raw Data 5Y'!P23)^(1/5)-1)*100,"")</f>
        <v/>
      </c>
      <c r="L3" s="3">
        <f>IFERROR((('Raw Data 5Y'!S23/'Raw Data 5Y'!R23)^(1/5)-1)*100,"")</f>
        <v/>
      </c>
      <c r="M3" s="3">
        <f>IFERROR((('Raw Data 5Y'!U23/'Raw Data 5Y'!T23)^(1/5)-1)*100,"")</f>
        <v/>
      </c>
      <c r="N3" s="3">
        <f>IFERROR((('Raw Data 5Y'!W23/'Raw Data 5Y'!V23)^(1/5)-1)*100,"")</f>
        <v/>
      </c>
      <c r="O3" s="3">
        <f>IFERROR((('Raw Data 5Y'!Y23/'Raw Data 5Y'!X23)^(1/5)-1)*100,"")</f>
        <v/>
      </c>
      <c r="P3" s="3">
        <f>IFERROR((('Raw Data 5Y'!AA23/'Raw Data 5Y'!Z23)^(1/5)-1)*100,"")</f>
        <v/>
      </c>
      <c r="Q3" s="3">
        <f>IFERROR((('Raw Data 5Y'!AC23/'Raw Data 5Y'!AB23)^(1/5)-1)*100,"")</f>
        <v/>
      </c>
      <c r="R3" s="3">
        <f>IFERROR((('Raw Data 5Y'!AE23/'Raw Data 5Y'!AD23)^(1/5)-1)*100,"")</f>
        <v/>
      </c>
      <c r="S3" s="3">
        <f>IFERROR((('Raw Data 5Y'!AG23/'Raw Data 5Y'!AF23)^(1/5)-1)*100,"")</f>
        <v/>
      </c>
      <c r="T3" s="3">
        <f>IFERROR((('Raw Data 5Y'!AI23/'Raw Data 5Y'!AH23)^(1/5)-1)*100,"")</f>
        <v/>
      </c>
      <c r="U3" s="3">
        <f>IFERROR((('Raw Data 5Y'!AK23/'Raw Data 5Y'!AJ23)^(1/5)-1)*100,"")</f>
        <v/>
      </c>
      <c r="V3" s="3">
        <f>IF(AND(ISNUMBER(F3),COUNT(F$2:F$46)&gt;=4),IF(F3&gt;=QUARTILE(F$2:F$46,3),1,0),0)+IF(AND(ISNUMBER(G3),COUNT(G$2:G$46)&gt;=4),IF(G3&gt;=QUARTILE(G$2:G$46,3),1,0),0)+IF(AND(ISNUMBER(H3),COUNT(H$2:H$46)&gt;=4),IF(H3&gt;=QUARTILE(H$2:H$46,3),1,0),0)+IF(AND(ISNUMBER(I3),COUNT(I$2:I$46)&gt;=4),IF(I3&gt;=QUARTILE(I$2:I$46,3),1,0),0)+IF(AND(ISNUMBER(J3),COUNT(J$2:J$46)&gt;=4),IF(J3&gt;=QUARTILE(J$2:J$46,3),1,0),0)+IF(AND(ISNUMBER(K3),COUNT(K$2:K$46)&gt;=4),IF(K3&gt;=QUARTILE(K$2:K$46,3),1,0),0)+IF(AND(ISNUMBER(L3),COUNT(L$2:L$46)&gt;=4),IF(L3&gt;=QUARTILE(L$2:L$46,3),1,0),0)+IF(AND(ISNUMBER(M3),COUNT(M$2:M$46)&gt;=4),IF(M3&gt;=QUARTILE(M$2:M$46,3),1,0),0)+IF(AND(ISNUMBER(N3),COUNT(N$2:N$46)&gt;=4),IF(N3&gt;=QUARTILE(N$2:N$46,3),1,0),0)+IF(AND(ISNUMBER(O3),COUNT(O$2:O$46)&gt;=4),IF(O3&gt;=QUARTILE(O$2:O$46,3),1,0),0)+IF(AND(ISNUMBER(P3),COUNT(P$2:P$46)&gt;=4),IF(P3&gt;=QUARTILE(P$2:P$46,3),1,0),0)+IF(AND(ISNUMBER(Q3),COUNT(Q$2:Q$46)&gt;=4),IF(Q3&gt;=QUARTILE(Q$2:Q$46,3),1,0),0)+IF(AND(ISNUMBER(R3),COUNT(R$2:R$46)&gt;=4),IF(R3&gt;=QUARTILE(R$2:R$46,3),1,0),0)+IF(AND(ISNUMBER(S3),COUNT(S$2:S$46)&gt;=4),IF(S3&gt;=QUARTILE(S$2:S$46,3),1,0),0)+IF(AND(ISNUMBER(T3),COUNT(T$2:T$46)&gt;=4),IF(T3&gt;=QUARTILE(T$2:T$46,3),1,0),0)+IF(AND(ISNUMBER(U3),COUNT(U$2:U$46)&gt;=4),IF(U3&gt;=QUARTILE(U$2:U$46,3),1,0),0)</f>
        <v/>
      </c>
      <c r="W3" s="3">
        <f>IF(AND(ISNUMBER(F3),COUNT(F$2:F$46)&gt;=4),IF(F3&lt;=QUARTILE(F$2:F$46,1),1,0),0)+IF(AND(ISNUMBER(G3),COUNT(G$2:G$46)&gt;=4),IF(G3&lt;=QUARTILE(G$2:G$46,1),1,0),0)+IF(AND(ISNUMBER(H3),COUNT(H$2:H$46)&gt;=4),IF(H3&lt;=QUARTILE(H$2:H$46,1),1,0),0)+IF(AND(ISNUMBER(I3),COUNT(I$2:I$46)&gt;=4),IF(I3&lt;=QUARTILE(I$2:I$46,1),1,0),0)+IF(AND(ISNUMBER(J3),COUNT(J$2:J$46)&gt;=4),IF(J3&lt;=QUARTILE(J$2:J$46,1),1,0),0)+IF(AND(ISNUMBER(K3),COUNT(K$2:K$46)&gt;=4),IF(K3&lt;=QUARTILE(K$2:K$46,1),1,0),0)+IF(AND(ISNUMBER(L3),COUNT(L$2:L$46)&gt;=4),IF(L3&lt;=QUARTILE(L$2:L$46,1),1,0),0)+IF(AND(ISNUMBER(M3),COUNT(M$2:M$46)&gt;=4),IF(M3&lt;=QUARTILE(M$2:M$46,1),1,0),0)+IF(AND(ISNUMBER(N3),COUNT(N$2:N$46)&gt;=4),IF(N3&lt;=QUARTILE(N$2:N$46,1),1,0),0)+IF(AND(ISNUMBER(O3),COUNT(O$2:O$46)&gt;=4),IF(O3&lt;=QUARTILE(O$2:O$46,1),1,0),0)+IF(AND(ISNUMBER(P3),COUNT(P$2:P$46)&gt;=4),IF(P3&lt;=QUARTILE(P$2:P$46,1),1,0),0)+IF(AND(ISNUMBER(Q3),COUNT(Q$2:Q$46)&gt;=4),IF(Q3&lt;=QUARTILE(Q$2:Q$46,1),1,0),0)+IF(AND(ISNUMBER(R3),COUNT(R$2:R$46)&gt;=4),IF(R3&lt;=QUARTILE(R$2:R$46,1),1,0),0)+IF(AND(ISNUMBER(S3),COUNT(S$2:S$46)&gt;=4),IF(S3&lt;=QUARTILE(S$2:S$46,1),1,0),0)+IF(AND(ISNUMBER(T3),COUNT(T$2:T$46)&gt;=4),IF(T3&lt;=QUARTILE(T$2:T$46,1),1,0),0)+IF(AND(ISNUMBER(U3),COUNT(U$2:U$46)&gt;=4),IF(U3&lt;=QUARTILE(U$2:U$46,1),1,0),0)</f>
        <v/>
      </c>
      <c r="X3" s="3">
        <f>IF(W3=0,V3,ROUND(V3/W3,2))</f>
        <v/>
      </c>
      <c r="Y3" s="3">
        <f>IFERROR(IF(VLOOKUP(A3,'Raw Data 5Y'!A:AL,38,FALSE)="","none",VLOOKUP(A3,'Raw Data 5Y'!A:AL,38,FALSE)),"none")</f>
        <v/>
      </c>
      <c r="Z3" s="4" t="inlineStr">
        <is>
          <t>Source</t>
        </is>
      </c>
    </row>
    <row r="4">
      <c r="A4">
        <f>'Raw Data 5Y'!A41</f>
        <v/>
      </c>
      <c r="B4" s="3">
        <f>IFERROR((('Raw Data 5Y'!C41/'Raw Data 5Y'!B41)^(1/'Raw Data 5Y'!D41)-1)*100,"")</f>
        <v/>
      </c>
      <c r="C4" s="3">
        <f>'Raw Data 5Y'!E41</f>
        <v/>
      </c>
      <c r="D4" s="3">
        <f>INT('Raw Data 5Y'!D41)</f>
        <v/>
      </c>
      <c r="E4" s="3">
        <f>IFERROR(AVERAGE(F4:U4),"")</f>
        <v/>
      </c>
      <c r="F4" s="3">
        <f>IFERROR((('Raw Data 5Y'!G41/'Raw Data 5Y'!F41)^(1/5)-1)*100,"")</f>
        <v/>
      </c>
      <c r="G4" s="3">
        <f>IFERROR((('Raw Data 5Y'!I41/'Raw Data 5Y'!H41)^(1/5)-1)*100,"")</f>
        <v/>
      </c>
      <c r="H4" s="3">
        <f>IFERROR((('Raw Data 5Y'!K41/'Raw Data 5Y'!J41)^(1/5)-1)*100,"")</f>
        <v/>
      </c>
      <c r="I4" s="3">
        <f>IFERROR((('Raw Data 5Y'!M41/'Raw Data 5Y'!L41)^(1/5)-1)*100,"")</f>
        <v/>
      </c>
      <c r="J4" s="3">
        <f>IFERROR((('Raw Data 5Y'!O41/'Raw Data 5Y'!N41)^(1/5)-1)*100,"")</f>
        <v/>
      </c>
      <c r="K4" s="3">
        <f>IFERROR((('Raw Data 5Y'!Q41/'Raw Data 5Y'!P41)^(1/5)-1)*100,"")</f>
        <v/>
      </c>
      <c r="L4" s="3">
        <f>IFERROR((('Raw Data 5Y'!S41/'Raw Data 5Y'!R41)^(1/5)-1)*100,"")</f>
        <v/>
      </c>
      <c r="M4" s="3">
        <f>IFERROR((('Raw Data 5Y'!U41/'Raw Data 5Y'!T41)^(1/5)-1)*100,"")</f>
        <v/>
      </c>
      <c r="N4" s="3">
        <f>IFERROR((('Raw Data 5Y'!W41/'Raw Data 5Y'!V41)^(1/5)-1)*100,"")</f>
        <v/>
      </c>
      <c r="O4" s="3">
        <f>IFERROR((('Raw Data 5Y'!Y41/'Raw Data 5Y'!X41)^(1/5)-1)*100,"")</f>
        <v/>
      </c>
      <c r="P4" s="3">
        <f>IFERROR((('Raw Data 5Y'!AA41/'Raw Data 5Y'!Z41)^(1/5)-1)*100,"")</f>
        <v/>
      </c>
      <c r="Q4" s="3">
        <f>IFERROR((('Raw Data 5Y'!AC41/'Raw Data 5Y'!AB41)^(1/5)-1)*100,"")</f>
        <v/>
      </c>
      <c r="R4" s="3">
        <f>IFERROR((('Raw Data 5Y'!AE41/'Raw Data 5Y'!AD41)^(1/5)-1)*100,"")</f>
        <v/>
      </c>
      <c r="S4" s="3">
        <f>IFERROR((('Raw Data 5Y'!AG41/'Raw Data 5Y'!AF41)^(1/5)-1)*100,"")</f>
        <v/>
      </c>
      <c r="T4" s="3">
        <f>IFERROR((('Raw Data 5Y'!AI41/'Raw Data 5Y'!AH41)^(1/5)-1)*100,"")</f>
        <v/>
      </c>
      <c r="U4" s="3">
        <f>IFERROR((('Raw Data 5Y'!AK41/'Raw Data 5Y'!AJ41)^(1/5)-1)*100,"")</f>
        <v/>
      </c>
      <c r="V4" s="3">
        <f>IF(AND(ISNUMBER(F4),COUNT(F$2:F$46)&gt;=4),IF(F4&gt;=QUARTILE(F$2:F$46,3),1,0),0)+IF(AND(ISNUMBER(G4),COUNT(G$2:G$46)&gt;=4),IF(G4&gt;=QUARTILE(G$2:G$46,3),1,0),0)+IF(AND(ISNUMBER(H4),COUNT(H$2:H$46)&gt;=4),IF(H4&gt;=QUARTILE(H$2:H$46,3),1,0),0)+IF(AND(ISNUMBER(I4),COUNT(I$2:I$46)&gt;=4),IF(I4&gt;=QUARTILE(I$2:I$46,3),1,0),0)+IF(AND(ISNUMBER(J4),COUNT(J$2:J$46)&gt;=4),IF(J4&gt;=QUARTILE(J$2:J$46,3),1,0),0)+IF(AND(ISNUMBER(K4),COUNT(K$2:K$46)&gt;=4),IF(K4&gt;=QUARTILE(K$2:K$46,3),1,0),0)+IF(AND(ISNUMBER(L4),COUNT(L$2:L$46)&gt;=4),IF(L4&gt;=QUARTILE(L$2:L$46,3),1,0),0)+IF(AND(ISNUMBER(M4),COUNT(M$2:M$46)&gt;=4),IF(M4&gt;=QUARTILE(M$2:M$46,3),1,0),0)+IF(AND(ISNUMBER(N4),COUNT(N$2:N$46)&gt;=4),IF(N4&gt;=QUARTILE(N$2:N$46,3),1,0),0)+IF(AND(ISNUMBER(O4),COUNT(O$2:O$46)&gt;=4),IF(O4&gt;=QUARTILE(O$2:O$46,3),1,0),0)+IF(AND(ISNUMBER(P4),COUNT(P$2:P$46)&gt;=4),IF(P4&gt;=QUARTILE(P$2:P$46,3),1,0),0)+IF(AND(ISNUMBER(Q4),COUNT(Q$2:Q$46)&gt;=4),IF(Q4&gt;=QUARTILE(Q$2:Q$46,3),1,0),0)+IF(AND(ISNUMBER(R4),COUNT(R$2:R$46)&gt;=4),IF(R4&gt;=QUARTILE(R$2:R$46,3),1,0),0)+IF(AND(ISNUMBER(S4),COUNT(S$2:S$46)&gt;=4),IF(S4&gt;=QUARTILE(S$2:S$46,3),1,0),0)+IF(AND(ISNUMBER(T4),COUNT(T$2:T$46)&gt;=4),IF(T4&gt;=QUARTILE(T$2:T$46,3),1,0),0)+IF(AND(ISNUMBER(U4),COUNT(U$2:U$46)&gt;=4),IF(U4&gt;=QUARTILE(U$2:U$46,3),1,0),0)</f>
        <v/>
      </c>
      <c r="W4" s="3">
        <f>IF(AND(ISNUMBER(F4),COUNT(F$2:F$46)&gt;=4),IF(F4&lt;=QUARTILE(F$2:F$46,1),1,0),0)+IF(AND(ISNUMBER(G4),COUNT(G$2:G$46)&gt;=4),IF(G4&lt;=QUARTILE(G$2:G$46,1),1,0),0)+IF(AND(ISNUMBER(H4),COUNT(H$2:H$46)&gt;=4),IF(H4&lt;=QUARTILE(H$2:H$46,1),1,0),0)+IF(AND(ISNUMBER(I4),COUNT(I$2:I$46)&gt;=4),IF(I4&lt;=QUARTILE(I$2:I$46,1),1,0),0)+IF(AND(ISNUMBER(J4),COUNT(J$2:J$46)&gt;=4),IF(J4&lt;=QUARTILE(J$2:J$46,1),1,0),0)+IF(AND(ISNUMBER(K4),COUNT(K$2:K$46)&gt;=4),IF(K4&lt;=QUARTILE(K$2:K$46,1),1,0),0)+IF(AND(ISNUMBER(L4),COUNT(L$2:L$46)&gt;=4),IF(L4&lt;=QUARTILE(L$2:L$46,1),1,0),0)+IF(AND(ISNUMBER(M4),COUNT(M$2:M$46)&gt;=4),IF(M4&lt;=QUARTILE(M$2:M$46,1),1,0),0)+IF(AND(ISNUMBER(N4),COUNT(N$2:N$46)&gt;=4),IF(N4&lt;=QUARTILE(N$2:N$46,1),1,0),0)+IF(AND(ISNUMBER(O4),COUNT(O$2:O$46)&gt;=4),IF(O4&lt;=QUARTILE(O$2:O$46,1),1,0),0)+IF(AND(ISNUMBER(P4),COUNT(P$2:P$46)&gt;=4),IF(P4&lt;=QUARTILE(P$2:P$46,1),1,0),0)+IF(AND(ISNUMBER(Q4),COUNT(Q$2:Q$46)&gt;=4),IF(Q4&lt;=QUARTILE(Q$2:Q$46,1),1,0),0)+IF(AND(ISNUMBER(R4),COUNT(R$2:R$46)&gt;=4),IF(R4&lt;=QUARTILE(R$2:R$46,1),1,0),0)+IF(AND(ISNUMBER(S4),COUNT(S$2:S$46)&gt;=4),IF(S4&lt;=QUARTILE(S$2:S$46,1),1,0),0)+IF(AND(ISNUMBER(T4),COUNT(T$2:T$46)&gt;=4),IF(T4&lt;=QUARTILE(T$2:T$46,1),1,0),0)+IF(AND(ISNUMBER(U4),COUNT(U$2:U$46)&gt;=4),IF(U4&lt;=QUARTILE(U$2:U$46,1),1,0),0)</f>
        <v/>
      </c>
      <c r="X4" s="3">
        <f>IF(W4=0,V4,ROUND(V4/W4,2))</f>
        <v/>
      </c>
      <c r="Y4" s="3">
        <f>IFERROR(IF(VLOOKUP(A4,'Raw Data 5Y'!A:AL,38,FALSE)="","none",VLOOKUP(A4,'Raw Data 5Y'!A:AL,38,FALSE)),"none")</f>
        <v/>
      </c>
      <c r="Z4" s="4" t="inlineStr">
        <is>
          <t>Source</t>
        </is>
      </c>
    </row>
    <row r="5">
      <c r="A5">
        <f>'Raw Data 5Y'!A39</f>
        <v/>
      </c>
      <c r="B5" s="3">
        <f>IFERROR((('Raw Data 5Y'!C39/'Raw Data 5Y'!B39)^(1/'Raw Data 5Y'!D39)-1)*100,"")</f>
        <v/>
      </c>
      <c r="C5" s="3">
        <f>'Raw Data 5Y'!E39</f>
        <v/>
      </c>
      <c r="D5" s="3">
        <f>INT('Raw Data 5Y'!D39)</f>
        <v/>
      </c>
      <c r="E5" s="3">
        <f>IFERROR(AVERAGE(F5:U5),"")</f>
        <v/>
      </c>
      <c r="F5" s="3">
        <f>IFERROR((('Raw Data 5Y'!G39/'Raw Data 5Y'!F39)^(1/5)-1)*100,"")</f>
        <v/>
      </c>
      <c r="G5" s="3">
        <f>IFERROR((('Raw Data 5Y'!I39/'Raw Data 5Y'!H39)^(1/5)-1)*100,"")</f>
        <v/>
      </c>
      <c r="H5" s="3">
        <f>IFERROR((('Raw Data 5Y'!K39/'Raw Data 5Y'!J39)^(1/5)-1)*100,"")</f>
        <v/>
      </c>
      <c r="I5" s="3">
        <f>IFERROR((('Raw Data 5Y'!M39/'Raw Data 5Y'!L39)^(1/5)-1)*100,"")</f>
        <v/>
      </c>
      <c r="J5" s="3">
        <f>IFERROR((('Raw Data 5Y'!O39/'Raw Data 5Y'!N39)^(1/5)-1)*100,"")</f>
        <v/>
      </c>
      <c r="K5" s="3">
        <f>IFERROR((('Raw Data 5Y'!Q39/'Raw Data 5Y'!P39)^(1/5)-1)*100,"")</f>
        <v/>
      </c>
      <c r="L5" s="3">
        <f>IFERROR((('Raw Data 5Y'!S39/'Raw Data 5Y'!R39)^(1/5)-1)*100,"")</f>
        <v/>
      </c>
      <c r="M5" s="3">
        <f>IFERROR((('Raw Data 5Y'!U39/'Raw Data 5Y'!T39)^(1/5)-1)*100,"")</f>
        <v/>
      </c>
      <c r="N5" s="3">
        <f>IFERROR((('Raw Data 5Y'!W39/'Raw Data 5Y'!V39)^(1/5)-1)*100,"")</f>
        <v/>
      </c>
      <c r="O5" s="3">
        <f>IFERROR((('Raw Data 5Y'!Y39/'Raw Data 5Y'!X39)^(1/5)-1)*100,"")</f>
        <v/>
      </c>
      <c r="P5" s="3">
        <f>IFERROR((('Raw Data 5Y'!AA39/'Raw Data 5Y'!Z39)^(1/5)-1)*100,"")</f>
        <v/>
      </c>
      <c r="Q5" s="3">
        <f>IFERROR((('Raw Data 5Y'!AC39/'Raw Data 5Y'!AB39)^(1/5)-1)*100,"")</f>
        <v/>
      </c>
      <c r="R5" s="3">
        <f>IFERROR((('Raw Data 5Y'!AE39/'Raw Data 5Y'!AD39)^(1/5)-1)*100,"")</f>
        <v/>
      </c>
      <c r="S5" s="3">
        <f>IFERROR((('Raw Data 5Y'!AG39/'Raw Data 5Y'!AF39)^(1/5)-1)*100,"")</f>
        <v/>
      </c>
      <c r="T5" s="3">
        <f>IFERROR((('Raw Data 5Y'!AI39/'Raw Data 5Y'!AH39)^(1/5)-1)*100,"")</f>
        <v/>
      </c>
      <c r="U5" s="3">
        <f>IFERROR((('Raw Data 5Y'!AK39/'Raw Data 5Y'!AJ39)^(1/5)-1)*100,"")</f>
        <v/>
      </c>
      <c r="V5" s="3">
        <f>IF(AND(ISNUMBER(F5),COUNT(F$2:F$46)&gt;=4),IF(F5&gt;=QUARTILE(F$2:F$46,3),1,0),0)+IF(AND(ISNUMBER(G5),COUNT(G$2:G$46)&gt;=4),IF(G5&gt;=QUARTILE(G$2:G$46,3),1,0),0)+IF(AND(ISNUMBER(H5),COUNT(H$2:H$46)&gt;=4),IF(H5&gt;=QUARTILE(H$2:H$46,3),1,0),0)+IF(AND(ISNUMBER(I5),COUNT(I$2:I$46)&gt;=4),IF(I5&gt;=QUARTILE(I$2:I$46,3),1,0),0)+IF(AND(ISNUMBER(J5),COUNT(J$2:J$46)&gt;=4),IF(J5&gt;=QUARTILE(J$2:J$46,3),1,0),0)+IF(AND(ISNUMBER(K5),COUNT(K$2:K$46)&gt;=4),IF(K5&gt;=QUARTILE(K$2:K$46,3),1,0),0)+IF(AND(ISNUMBER(L5),COUNT(L$2:L$46)&gt;=4),IF(L5&gt;=QUARTILE(L$2:L$46,3),1,0),0)+IF(AND(ISNUMBER(M5),COUNT(M$2:M$46)&gt;=4),IF(M5&gt;=QUARTILE(M$2:M$46,3),1,0),0)+IF(AND(ISNUMBER(N5),COUNT(N$2:N$46)&gt;=4),IF(N5&gt;=QUARTILE(N$2:N$46,3),1,0),0)+IF(AND(ISNUMBER(O5),COUNT(O$2:O$46)&gt;=4),IF(O5&gt;=QUARTILE(O$2:O$46,3),1,0),0)+IF(AND(ISNUMBER(P5),COUNT(P$2:P$46)&gt;=4),IF(P5&gt;=QUARTILE(P$2:P$46,3),1,0),0)+IF(AND(ISNUMBER(Q5),COUNT(Q$2:Q$46)&gt;=4),IF(Q5&gt;=QUARTILE(Q$2:Q$46,3),1,0),0)+IF(AND(ISNUMBER(R5),COUNT(R$2:R$46)&gt;=4),IF(R5&gt;=QUARTILE(R$2:R$46,3),1,0),0)+IF(AND(ISNUMBER(S5),COUNT(S$2:S$46)&gt;=4),IF(S5&gt;=QUARTILE(S$2:S$46,3),1,0),0)+IF(AND(ISNUMBER(T5),COUNT(T$2:T$46)&gt;=4),IF(T5&gt;=QUARTILE(T$2:T$46,3),1,0),0)+IF(AND(ISNUMBER(U5),COUNT(U$2:U$46)&gt;=4),IF(U5&gt;=QUARTILE(U$2:U$46,3),1,0),0)</f>
        <v/>
      </c>
      <c r="W5" s="3">
        <f>IF(AND(ISNUMBER(F5),COUNT(F$2:F$46)&gt;=4),IF(F5&lt;=QUARTILE(F$2:F$46,1),1,0),0)+IF(AND(ISNUMBER(G5),COUNT(G$2:G$46)&gt;=4),IF(G5&lt;=QUARTILE(G$2:G$46,1),1,0),0)+IF(AND(ISNUMBER(H5),COUNT(H$2:H$46)&gt;=4),IF(H5&lt;=QUARTILE(H$2:H$46,1),1,0),0)+IF(AND(ISNUMBER(I5),COUNT(I$2:I$46)&gt;=4),IF(I5&lt;=QUARTILE(I$2:I$46,1),1,0),0)+IF(AND(ISNUMBER(J5),COUNT(J$2:J$46)&gt;=4),IF(J5&lt;=QUARTILE(J$2:J$46,1),1,0),0)+IF(AND(ISNUMBER(K5),COUNT(K$2:K$46)&gt;=4),IF(K5&lt;=QUARTILE(K$2:K$46,1),1,0),0)+IF(AND(ISNUMBER(L5),COUNT(L$2:L$46)&gt;=4),IF(L5&lt;=QUARTILE(L$2:L$46,1),1,0),0)+IF(AND(ISNUMBER(M5),COUNT(M$2:M$46)&gt;=4),IF(M5&lt;=QUARTILE(M$2:M$46,1),1,0),0)+IF(AND(ISNUMBER(N5),COUNT(N$2:N$46)&gt;=4),IF(N5&lt;=QUARTILE(N$2:N$46,1),1,0),0)+IF(AND(ISNUMBER(O5),COUNT(O$2:O$46)&gt;=4),IF(O5&lt;=QUARTILE(O$2:O$46,1),1,0),0)+IF(AND(ISNUMBER(P5),COUNT(P$2:P$46)&gt;=4),IF(P5&lt;=QUARTILE(P$2:P$46,1),1,0),0)+IF(AND(ISNUMBER(Q5),COUNT(Q$2:Q$46)&gt;=4),IF(Q5&lt;=QUARTILE(Q$2:Q$46,1),1,0),0)+IF(AND(ISNUMBER(R5),COUNT(R$2:R$46)&gt;=4),IF(R5&lt;=QUARTILE(R$2:R$46,1),1,0),0)+IF(AND(ISNUMBER(S5),COUNT(S$2:S$46)&gt;=4),IF(S5&lt;=QUARTILE(S$2:S$46,1),1,0),0)+IF(AND(ISNUMBER(T5),COUNT(T$2:T$46)&gt;=4),IF(T5&lt;=QUARTILE(T$2:T$46,1),1,0),0)+IF(AND(ISNUMBER(U5),COUNT(U$2:U$46)&gt;=4),IF(U5&lt;=QUARTILE(U$2:U$46,1),1,0),0)</f>
        <v/>
      </c>
      <c r="X5" s="3">
        <f>IF(W5=0,V5,ROUND(V5/W5,2))</f>
        <v/>
      </c>
      <c r="Y5" s="3">
        <f>IFERROR(IF(VLOOKUP(A5,'Raw Data 5Y'!A:AL,38,FALSE)="","none",VLOOKUP(A5,'Raw Data 5Y'!A:AL,38,FALSE)),"none")</f>
        <v/>
      </c>
      <c r="Z5" s="4" t="inlineStr">
        <is>
          <t>Source</t>
        </is>
      </c>
    </row>
    <row r="6">
      <c r="A6">
        <f>'Raw Data 5Y'!A16</f>
        <v/>
      </c>
      <c r="B6" s="3">
        <f>IFERROR((('Raw Data 5Y'!C16/'Raw Data 5Y'!B16)^(1/'Raw Data 5Y'!D16)-1)*100,"")</f>
        <v/>
      </c>
      <c r="C6" s="3">
        <f>'Raw Data 5Y'!E16</f>
        <v/>
      </c>
      <c r="D6" s="3">
        <f>INT('Raw Data 5Y'!D16)</f>
        <v/>
      </c>
      <c r="E6" s="3">
        <f>IFERROR(AVERAGE(F6:U6),"")</f>
        <v/>
      </c>
      <c r="F6" s="3">
        <f>IFERROR((('Raw Data 5Y'!G16/'Raw Data 5Y'!F16)^(1/5)-1)*100,"")</f>
        <v/>
      </c>
      <c r="G6" s="3">
        <f>IFERROR((('Raw Data 5Y'!I16/'Raw Data 5Y'!H16)^(1/5)-1)*100,"")</f>
        <v/>
      </c>
      <c r="H6" s="3">
        <f>IFERROR((('Raw Data 5Y'!K16/'Raw Data 5Y'!J16)^(1/5)-1)*100,"")</f>
        <v/>
      </c>
      <c r="I6" s="3">
        <f>IFERROR((('Raw Data 5Y'!M16/'Raw Data 5Y'!L16)^(1/5)-1)*100,"")</f>
        <v/>
      </c>
      <c r="J6" s="3">
        <f>IFERROR((('Raw Data 5Y'!O16/'Raw Data 5Y'!N16)^(1/5)-1)*100,"")</f>
        <v/>
      </c>
      <c r="K6" s="3">
        <f>IFERROR((('Raw Data 5Y'!Q16/'Raw Data 5Y'!P16)^(1/5)-1)*100,"")</f>
        <v/>
      </c>
      <c r="L6" s="3">
        <f>IFERROR((('Raw Data 5Y'!S16/'Raw Data 5Y'!R16)^(1/5)-1)*100,"")</f>
        <v/>
      </c>
      <c r="M6" s="3">
        <f>IFERROR((('Raw Data 5Y'!U16/'Raw Data 5Y'!T16)^(1/5)-1)*100,"")</f>
        <v/>
      </c>
      <c r="N6" s="3">
        <f>IFERROR((('Raw Data 5Y'!W16/'Raw Data 5Y'!V16)^(1/5)-1)*100,"")</f>
        <v/>
      </c>
      <c r="O6" s="3">
        <f>IFERROR((('Raw Data 5Y'!Y16/'Raw Data 5Y'!X16)^(1/5)-1)*100,"")</f>
        <v/>
      </c>
      <c r="P6" s="3">
        <f>IFERROR((('Raw Data 5Y'!AA16/'Raw Data 5Y'!Z16)^(1/5)-1)*100,"")</f>
        <v/>
      </c>
      <c r="Q6" s="3">
        <f>IFERROR((('Raw Data 5Y'!AC16/'Raw Data 5Y'!AB16)^(1/5)-1)*100,"")</f>
        <v/>
      </c>
      <c r="R6" s="3">
        <f>IFERROR((('Raw Data 5Y'!AE16/'Raw Data 5Y'!AD16)^(1/5)-1)*100,"")</f>
        <v/>
      </c>
      <c r="S6" s="3">
        <f>IFERROR((('Raw Data 5Y'!AG16/'Raw Data 5Y'!AF16)^(1/5)-1)*100,"")</f>
        <v/>
      </c>
      <c r="T6" s="3">
        <f>IFERROR((('Raw Data 5Y'!AI16/'Raw Data 5Y'!AH16)^(1/5)-1)*100,"")</f>
        <v/>
      </c>
      <c r="U6" s="3">
        <f>IFERROR((('Raw Data 5Y'!AK16/'Raw Data 5Y'!AJ16)^(1/5)-1)*100,"")</f>
        <v/>
      </c>
      <c r="V6" s="3">
        <f>IF(AND(ISNUMBER(F6),COUNT(F$2:F$46)&gt;=4),IF(F6&gt;=QUARTILE(F$2:F$46,3),1,0),0)+IF(AND(ISNUMBER(G6),COUNT(G$2:G$46)&gt;=4),IF(G6&gt;=QUARTILE(G$2:G$46,3),1,0),0)+IF(AND(ISNUMBER(H6),COUNT(H$2:H$46)&gt;=4),IF(H6&gt;=QUARTILE(H$2:H$46,3),1,0),0)+IF(AND(ISNUMBER(I6),COUNT(I$2:I$46)&gt;=4),IF(I6&gt;=QUARTILE(I$2:I$46,3),1,0),0)+IF(AND(ISNUMBER(J6),COUNT(J$2:J$46)&gt;=4),IF(J6&gt;=QUARTILE(J$2:J$46,3),1,0),0)+IF(AND(ISNUMBER(K6),COUNT(K$2:K$46)&gt;=4),IF(K6&gt;=QUARTILE(K$2:K$46,3),1,0),0)+IF(AND(ISNUMBER(L6),COUNT(L$2:L$46)&gt;=4),IF(L6&gt;=QUARTILE(L$2:L$46,3),1,0),0)+IF(AND(ISNUMBER(M6),COUNT(M$2:M$46)&gt;=4),IF(M6&gt;=QUARTILE(M$2:M$46,3),1,0),0)+IF(AND(ISNUMBER(N6),COUNT(N$2:N$46)&gt;=4),IF(N6&gt;=QUARTILE(N$2:N$46,3),1,0),0)+IF(AND(ISNUMBER(O6),COUNT(O$2:O$46)&gt;=4),IF(O6&gt;=QUARTILE(O$2:O$46,3),1,0),0)+IF(AND(ISNUMBER(P6),COUNT(P$2:P$46)&gt;=4),IF(P6&gt;=QUARTILE(P$2:P$46,3),1,0),0)+IF(AND(ISNUMBER(Q6),COUNT(Q$2:Q$46)&gt;=4),IF(Q6&gt;=QUARTILE(Q$2:Q$46,3),1,0),0)+IF(AND(ISNUMBER(R6),COUNT(R$2:R$46)&gt;=4),IF(R6&gt;=QUARTILE(R$2:R$46,3),1,0),0)+IF(AND(ISNUMBER(S6),COUNT(S$2:S$46)&gt;=4),IF(S6&gt;=QUARTILE(S$2:S$46,3),1,0),0)+IF(AND(ISNUMBER(T6),COUNT(T$2:T$46)&gt;=4),IF(T6&gt;=QUARTILE(T$2:T$46,3),1,0),0)+IF(AND(ISNUMBER(U6),COUNT(U$2:U$46)&gt;=4),IF(U6&gt;=QUARTILE(U$2:U$46,3),1,0),0)</f>
        <v/>
      </c>
      <c r="W6" s="3">
        <f>IF(AND(ISNUMBER(F6),COUNT(F$2:F$46)&gt;=4),IF(F6&lt;=QUARTILE(F$2:F$46,1),1,0),0)+IF(AND(ISNUMBER(G6),COUNT(G$2:G$46)&gt;=4),IF(G6&lt;=QUARTILE(G$2:G$46,1),1,0),0)+IF(AND(ISNUMBER(H6),COUNT(H$2:H$46)&gt;=4),IF(H6&lt;=QUARTILE(H$2:H$46,1),1,0),0)+IF(AND(ISNUMBER(I6),COUNT(I$2:I$46)&gt;=4),IF(I6&lt;=QUARTILE(I$2:I$46,1),1,0),0)+IF(AND(ISNUMBER(J6),COUNT(J$2:J$46)&gt;=4),IF(J6&lt;=QUARTILE(J$2:J$46,1),1,0),0)+IF(AND(ISNUMBER(K6),COUNT(K$2:K$46)&gt;=4),IF(K6&lt;=QUARTILE(K$2:K$46,1),1,0),0)+IF(AND(ISNUMBER(L6),COUNT(L$2:L$46)&gt;=4),IF(L6&lt;=QUARTILE(L$2:L$46,1),1,0),0)+IF(AND(ISNUMBER(M6),COUNT(M$2:M$46)&gt;=4),IF(M6&lt;=QUARTILE(M$2:M$46,1),1,0),0)+IF(AND(ISNUMBER(N6),COUNT(N$2:N$46)&gt;=4),IF(N6&lt;=QUARTILE(N$2:N$46,1),1,0),0)+IF(AND(ISNUMBER(O6),COUNT(O$2:O$46)&gt;=4),IF(O6&lt;=QUARTILE(O$2:O$46,1),1,0),0)+IF(AND(ISNUMBER(P6),COUNT(P$2:P$46)&gt;=4),IF(P6&lt;=QUARTILE(P$2:P$46,1),1,0),0)+IF(AND(ISNUMBER(Q6),COUNT(Q$2:Q$46)&gt;=4),IF(Q6&lt;=QUARTILE(Q$2:Q$46,1),1,0),0)+IF(AND(ISNUMBER(R6),COUNT(R$2:R$46)&gt;=4),IF(R6&lt;=QUARTILE(R$2:R$46,1),1,0),0)+IF(AND(ISNUMBER(S6),COUNT(S$2:S$46)&gt;=4),IF(S6&lt;=QUARTILE(S$2:S$46,1),1,0),0)+IF(AND(ISNUMBER(T6),COUNT(T$2:T$46)&gt;=4),IF(T6&lt;=QUARTILE(T$2:T$46,1),1,0),0)+IF(AND(ISNUMBER(U6),COUNT(U$2:U$46)&gt;=4),IF(U6&lt;=QUARTILE(U$2:U$46,1),1,0),0)</f>
        <v/>
      </c>
      <c r="X6" s="3">
        <f>IF(W6=0,V6,ROUND(V6/W6,2))</f>
        <v/>
      </c>
      <c r="Y6" s="3">
        <f>IFERROR(IF(VLOOKUP(A6,'Raw Data 5Y'!A:AL,38,FALSE)="","none",VLOOKUP(A6,'Raw Data 5Y'!A:AL,38,FALSE)),"none")</f>
        <v/>
      </c>
      <c r="Z6" s="4" t="inlineStr">
        <is>
          <t>Source</t>
        </is>
      </c>
    </row>
    <row r="7">
      <c r="A7">
        <f>'Raw Data 5Y'!A12</f>
        <v/>
      </c>
      <c r="B7" s="3">
        <f>IFERROR((('Raw Data 5Y'!C12/'Raw Data 5Y'!B12)^(1/'Raw Data 5Y'!D12)-1)*100,"")</f>
        <v/>
      </c>
      <c r="C7" s="3">
        <f>'Raw Data 5Y'!E12</f>
        <v/>
      </c>
      <c r="D7" s="3">
        <f>INT('Raw Data 5Y'!D12)</f>
        <v/>
      </c>
      <c r="E7" s="3">
        <f>IFERROR(AVERAGE(F7:U7),"")</f>
        <v/>
      </c>
      <c r="F7" s="3">
        <f>IFERROR((('Raw Data 5Y'!G12/'Raw Data 5Y'!F12)^(1/5)-1)*100,"")</f>
        <v/>
      </c>
      <c r="G7" s="3">
        <f>IFERROR((('Raw Data 5Y'!I12/'Raw Data 5Y'!H12)^(1/5)-1)*100,"")</f>
        <v/>
      </c>
      <c r="H7" s="3">
        <f>IFERROR((('Raw Data 5Y'!K12/'Raw Data 5Y'!J12)^(1/5)-1)*100,"")</f>
        <v/>
      </c>
      <c r="I7" s="3">
        <f>IFERROR((('Raw Data 5Y'!M12/'Raw Data 5Y'!L12)^(1/5)-1)*100,"")</f>
        <v/>
      </c>
      <c r="J7" s="3">
        <f>IFERROR((('Raw Data 5Y'!O12/'Raw Data 5Y'!N12)^(1/5)-1)*100,"")</f>
        <v/>
      </c>
      <c r="K7" s="3">
        <f>IFERROR((('Raw Data 5Y'!Q12/'Raw Data 5Y'!P12)^(1/5)-1)*100,"")</f>
        <v/>
      </c>
      <c r="L7" s="3">
        <f>IFERROR((('Raw Data 5Y'!S12/'Raw Data 5Y'!R12)^(1/5)-1)*100,"")</f>
        <v/>
      </c>
      <c r="M7" s="3">
        <f>IFERROR((('Raw Data 5Y'!U12/'Raw Data 5Y'!T12)^(1/5)-1)*100,"")</f>
        <v/>
      </c>
      <c r="N7" s="3">
        <f>IFERROR((('Raw Data 5Y'!W12/'Raw Data 5Y'!V12)^(1/5)-1)*100,"")</f>
        <v/>
      </c>
      <c r="O7" s="3">
        <f>IFERROR((('Raw Data 5Y'!Y12/'Raw Data 5Y'!X12)^(1/5)-1)*100,"")</f>
        <v/>
      </c>
      <c r="P7" s="3">
        <f>IFERROR((('Raw Data 5Y'!AA12/'Raw Data 5Y'!Z12)^(1/5)-1)*100,"")</f>
        <v/>
      </c>
      <c r="Q7" s="3">
        <f>IFERROR((('Raw Data 5Y'!AC12/'Raw Data 5Y'!AB12)^(1/5)-1)*100,"")</f>
        <v/>
      </c>
      <c r="R7" s="3">
        <f>IFERROR((('Raw Data 5Y'!AE12/'Raw Data 5Y'!AD12)^(1/5)-1)*100,"")</f>
        <v/>
      </c>
      <c r="S7" s="3">
        <f>IFERROR((('Raw Data 5Y'!AG12/'Raw Data 5Y'!AF12)^(1/5)-1)*100,"")</f>
        <v/>
      </c>
      <c r="T7" s="3">
        <f>IFERROR((('Raw Data 5Y'!AI12/'Raw Data 5Y'!AH12)^(1/5)-1)*100,"")</f>
        <v/>
      </c>
      <c r="U7" s="3">
        <f>IFERROR((('Raw Data 5Y'!AK12/'Raw Data 5Y'!AJ12)^(1/5)-1)*100,"")</f>
        <v/>
      </c>
      <c r="V7" s="3">
        <f>IF(AND(ISNUMBER(F7),COUNT(F$2:F$46)&gt;=4),IF(F7&gt;=QUARTILE(F$2:F$46,3),1,0),0)+IF(AND(ISNUMBER(G7),COUNT(G$2:G$46)&gt;=4),IF(G7&gt;=QUARTILE(G$2:G$46,3),1,0),0)+IF(AND(ISNUMBER(H7),COUNT(H$2:H$46)&gt;=4),IF(H7&gt;=QUARTILE(H$2:H$46,3),1,0),0)+IF(AND(ISNUMBER(I7),COUNT(I$2:I$46)&gt;=4),IF(I7&gt;=QUARTILE(I$2:I$46,3),1,0),0)+IF(AND(ISNUMBER(J7),COUNT(J$2:J$46)&gt;=4),IF(J7&gt;=QUARTILE(J$2:J$46,3),1,0),0)+IF(AND(ISNUMBER(K7),COUNT(K$2:K$46)&gt;=4),IF(K7&gt;=QUARTILE(K$2:K$46,3),1,0),0)+IF(AND(ISNUMBER(L7),COUNT(L$2:L$46)&gt;=4),IF(L7&gt;=QUARTILE(L$2:L$46,3),1,0),0)+IF(AND(ISNUMBER(M7),COUNT(M$2:M$46)&gt;=4),IF(M7&gt;=QUARTILE(M$2:M$46,3),1,0),0)+IF(AND(ISNUMBER(N7),COUNT(N$2:N$46)&gt;=4),IF(N7&gt;=QUARTILE(N$2:N$46,3),1,0),0)+IF(AND(ISNUMBER(O7),COUNT(O$2:O$46)&gt;=4),IF(O7&gt;=QUARTILE(O$2:O$46,3),1,0),0)+IF(AND(ISNUMBER(P7),COUNT(P$2:P$46)&gt;=4),IF(P7&gt;=QUARTILE(P$2:P$46,3),1,0),0)+IF(AND(ISNUMBER(Q7),COUNT(Q$2:Q$46)&gt;=4),IF(Q7&gt;=QUARTILE(Q$2:Q$46,3),1,0),0)+IF(AND(ISNUMBER(R7),COUNT(R$2:R$46)&gt;=4),IF(R7&gt;=QUARTILE(R$2:R$46,3),1,0),0)+IF(AND(ISNUMBER(S7),COUNT(S$2:S$46)&gt;=4),IF(S7&gt;=QUARTILE(S$2:S$46,3),1,0),0)+IF(AND(ISNUMBER(T7),COUNT(T$2:T$46)&gt;=4),IF(T7&gt;=QUARTILE(T$2:T$46,3),1,0),0)+IF(AND(ISNUMBER(U7),COUNT(U$2:U$46)&gt;=4),IF(U7&gt;=QUARTILE(U$2:U$46,3),1,0),0)</f>
        <v/>
      </c>
      <c r="W7" s="3">
        <f>IF(AND(ISNUMBER(F7),COUNT(F$2:F$46)&gt;=4),IF(F7&lt;=QUARTILE(F$2:F$46,1),1,0),0)+IF(AND(ISNUMBER(G7),COUNT(G$2:G$46)&gt;=4),IF(G7&lt;=QUARTILE(G$2:G$46,1),1,0),0)+IF(AND(ISNUMBER(H7),COUNT(H$2:H$46)&gt;=4),IF(H7&lt;=QUARTILE(H$2:H$46,1),1,0),0)+IF(AND(ISNUMBER(I7),COUNT(I$2:I$46)&gt;=4),IF(I7&lt;=QUARTILE(I$2:I$46,1),1,0),0)+IF(AND(ISNUMBER(J7),COUNT(J$2:J$46)&gt;=4),IF(J7&lt;=QUARTILE(J$2:J$46,1),1,0),0)+IF(AND(ISNUMBER(K7),COUNT(K$2:K$46)&gt;=4),IF(K7&lt;=QUARTILE(K$2:K$46,1),1,0),0)+IF(AND(ISNUMBER(L7),COUNT(L$2:L$46)&gt;=4),IF(L7&lt;=QUARTILE(L$2:L$46,1),1,0),0)+IF(AND(ISNUMBER(M7),COUNT(M$2:M$46)&gt;=4),IF(M7&lt;=QUARTILE(M$2:M$46,1),1,0),0)+IF(AND(ISNUMBER(N7),COUNT(N$2:N$46)&gt;=4),IF(N7&lt;=QUARTILE(N$2:N$46,1),1,0),0)+IF(AND(ISNUMBER(O7),COUNT(O$2:O$46)&gt;=4),IF(O7&lt;=QUARTILE(O$2:O$46,1),1,0),0)+IF(AND(ISNUMBER(P7),COUNT(P$2:P$46)&gt;=4),IF(P7&lt;=QUARTILE(P$2:P$46,1),1,0),0)+IF(AND(ISNUMBER(Q7),COUNT(Q$2:Q$46)&gt;=4),IF(Q7&lt;=QUARTILE(Q$2:Q$46,1),1,0),0)+IF(AND(ISNUMBER(R7),COUNT(R$2:R$46)&gt;=4),IF(R7&lt;=QUARTILE(R$2:R$46,1),1,0),0)+IF(AND(ISNUMBER(S7),COUNT(S$2:S$46)&gt;=4),IF(S7&lt;=QUARTILE(S$2:S$46,1),1,0),0)+IF(AND(ISNUMBER(T7),COUNT(T$2:T$46)&gt;=4),IF(T7&lt;=QUARTILE(T$2:T$46,1),1,0),0)+IF(AND(ISNUMBER(U7),COUNT(U$2:U$46)&gt;=4),IF(U7&lt;=QUARTILE(U$2:U$46,1),1,0),0)</f>
        <v/>
      </c>
      <c r="X7" s="3">
        <f>IF(W7=0,V7,ROUND(V7/W7,2))</f>
        <v/>
      </c>
      <c r="Y7" s="3">
        <f>IFERROR(IF(VLOOKUP(A7,'Raw Data 5Y'!A:AL,38,FALSE)="","none",VLOOKUP(A7,'Raw Data 5Y'!A:AL,38,FALSE)),"none")</f>
        <v/>
      </c>
      <c r="Z7" s="4" t="inlineStr">
        <is>
          <t>Source</t>
        </is>
      </c>
    </row>
    <row r="8">
      <c r="A8">
        <f>'Raw Data 5Y'!A18</f>
        <v/>
      </c>
      <c r="B8" s="3">
        <f>IFERROR((('Raw Data 5Y'!C18/'Raw Data 5Y'!B18)^(1/'Raw Data 5Y'!D18)-1)*100,"")</f>
        <v/>
      </c>
      <c r="C8" s="3">
        <f>'Raw Data 5Y'!E18</f>
        <v/>
      </c>
      <c r="D8" s="3">
        <f>INT('Raw Data 5Y'!D18)</f>
        <v/>
      </c>
      <c r="E8" s="3">
        <f>IFERROR(AVERAGE(F8:U8),"")</f>
        <v/>
      </c>
      <c r="F8" s="3">
        <f>IFERROR((('Raw Data 5Y'!G18/'Raw Data 5Y'!F18)^(1/5)-1)*100,"")</f>
        <v/>
      </c>
      <c r="G8" s="3">
        <f>IFERROR((('Raw Data 5Y'!I18/'Raw Data 5Y'!H18)^(1/5)-1)*100,"")</f>
        <v/>
      </c>
      <c r="H8" s="3">
        <f>IFERROR((('Raw Data 5Y'!K18/'Raw Data 5Y'!J18)^(1/5)-1)*100,"")</f>
        <v/>
      </c>
      <c r="I8" s="3">
        <f>IFERROR((('Raw Data 5Y'!M18/'Raw Data 5Y'!L18)^(1/5)-1)*100,"")</f>
        <v/>
      </c>
      <c r="J8" s="3">
        <f>IFERROR((('Raw Data 5Y'!O18/'Raw Data 5Y'!N18)^(1/5)-1)*100,"")</f>
        <v/>
      </c>
      <c r="K8" s="3">
        <f>IFERROR((('Raw Data 5Y'!Q18/'Raw Data 5Y'!P18)^(1/5)-1)*100,"")</f>
        <v/>
      </c>
      <c r="L8" s="3">
        <f>IFERROR((('Raw Data 5Y'!S18/'Raw Data 5Y'!R18)^(1/5)-1)*100,"")</f>
        <v/>
      </c>
      <c r="M8" s="3">
        <f>IFERROR((('Raw Data 5Y'!U18/'Raw Data 5Y'!T18)^(1/5)-1)*100,"")</f>
        <v/>
      </c>
      <c r="N8" s="3">
        <f>IFERROR((('Raw Data 5Y'!W18/'Raw Data 5Y'!V18)^(1/5)-1)*100,"")</f>
        <v/>
      </c>
      <c r="O8" s="3">
        <f>IFERROR((('Raw Data 5Y'!Y18/'Raw Data 5Y'!X18)^(1/5)-1)*100,"")</f>
        <v/>
      </c>
      <c r="P8" s="3">
        <f>IFERROR((('Raw Data 5Y'!AA18/'Raw Data 5Y'!Z18)^(1/5)-1)*100,"")</f>
        <v/>
      </c>
      <c r="Q8" s="3">
        <f>IFERROR((('Raw Data 5Y'!AC18/'Raw Data 5Y'!AB18)^(1/5)-1)*100,"")</f>
        <v/>
      </c>
      <c r="R8" s="3">
        <f>IFERROR((('Raw Data 5Y'!AE18/'Raw Data 5Y'!AD18)^(1/5)-1)*100,"")</f>
        <v/>
      </c>
      <c r="S8" s="3">
        <f>IFERROR((('Raw Data 5Y'!AG18/'Raw Data 5Y'!AF18)^(1/5)-1)*100,"")</f>
        <v/>
      </c>
      <c r="T8" s="3">
        <f>IFERROR((('Raw Data 5Y'!AI18/'Raw Data 5Y'!AH18)^(1/5)-1)*100,"")</f>
        <v/>
      </c>
      <c r="U8" s="3">
        <f>IFERROR((('Raw Data 5Y'!AK18/'Raw Data 5Y'!AJ18)^(1/5)-1)*100,"")</f>
        <v/>
      </c>
      <c r="V8" s="3">
        <f>IF(AND(ISNUMBER(F8),COUNT(F$2:F$46)&gt;=4),IF(F8&gt;=QUARTILE(F$2:F$46,3),1,0),0)+IF(AND(ISNUMBER(G8),COUNT(G$2:G$46)&gt;=4),IF(G8&gt;=QUARTILE(G$2:G$46,3),1,0),0)+IF(AND(ISNUMBER(H8),COUNT(H$2:H$46)&gt;=4),IF(H8&gt;=QUARTILE(H$2:H$46,3),1,0),0)+IF(AND(ISNUMBER(I8),COUNT(I$2:I$46)&gt;=4),IF(I8&gt;=QUARTILE(I$2:I$46,3),1,0),0)+IF(AND(ISNUMBER(J8),COUNT(J$2:J$46)&gt;=4),IF(J8&gt;=QUARTILE(J$2:J$46,3),1,0),0)+IF(AND(ISNUMBER(K8),COUNT(K$2:K$46)&gt;=4),IF(K8&gt;=QUARTILE(K$2:K$46,3),1,0),0)+IF(AND(ISNUMBER(L8),COUNT(L$2:L$46)&gt;=4),IF(L8&gt;=QUARTILE(L$2:L$46,3),1,0),0)+IF(AND(ISNUMBER(M8),COUNT(M$2:M$46)&gt;=4),IF(M8&gt;=QUARTILE(M$2:M$46,3),1,0),0)+IF(AND(ISNUMBER(N8),COUNT(N$2:N$46)&gt;=4),IF(N8&gt;=QUARTILE(N$2:N$46,3),1,0),0)+IF(AND(ISNUMBER(O8),COUNT(O$2:O$46)&gt;=4),IF(O8&gt;=QUARTILE(O$2:O$46,3),1,0),0)+IF(AND(ISNUMBER(P8),COUNT(P$2:P$46)&gt;=4),IF(P8&gt;=QUARTILE(P$2:P$46,3),1,0),0)+IF(AND(ISNUMBER(Q8),COUNT(Q$2:Q$46)&gt;=4),IF(Q8&gt;=QUARTILE(Q$2:Q$46,3),1,0),0)+IF(AND(ISNUMBER(R8),COUNT(R$2:R$46)&gt;=4),IF(R8&gt;=QUARTILE(R$2:R$46,3),1,0),0)+IF(AND(ISNUMBER(S8),COUNT(S$2:S$46)&gt;=4),IF(S8&gt;=QUARTILE(S$2:S$46,3),1,0),0)+IF(AND(ISNUMBER(T8),COUNT(T$2:T$46)&gt;=4),IF(T8&gt;=QUARTILE(T$2:T$46,3),1,0),0)+IF(AND(ISNUMBER(U8),COUNT(U$2:U$46)&gt;=4),IF(U8&gt;=QUARTILE(U$2:U$46,3),1,0),0)</f>
        <v/>
      </c>
      <c r="W8" s="3">
        <f>IF(AND(ISNUMBER(F8),COUNT(F$2:F$46)&gt;=4),IF(F8&lt;=QUARTILE(F$2:F$46,1),1,0),0)+IF(AND(ISNUMBER(G8),COUNT(G$2:G$46)&gt;=4),IF(G8&lt;=QUARTILE(G$2:G$46,1),1,0),0)+IF(AND(ISNUMBER(H8),COUNT(H$2:H$46)&gt;=4),IF(H8&lt;=QUARTILE(H$2:H$46,1),1,0),0)+IF(AND(ISNUMBER(I8),COUNT(I$2:I$46)&gt;=4),IF(I8&lt;=QUARTILE(I$2:I$46,1),1,0),0)+IF(AND(ISNUMBER(J8),COUNT(J$2:J$46)&gt;=4),IF(J8&lt;=QUARTILE(J$2:J$46,1),1,0),0)+IF(AND(ISNUMBER(K8),COUNT(K$2:K$46)&gt;=4),IF(K8&lt;=QUARTILE(K$2:K$46,1),1,0),0)+IF(AND(ISNUMBER(L8),COUNT(L$2:L$46)&gt;=4),IF(L8&lt;=QUARTILE(L$2:L$46,1),1,0),0)+IF(AND(ISNUMBER(M8),COUNT(M$2:M$46)&gt;=4),IF(M8&lt;=QUARTILE(M$2:M$46,1),1,0),0)+IF(AND(ISNUMBER(N8),COUNT(N$2:N$46)&gt;=4),IF(N8&lt;=QUARTILE(N$2:N$46,1),1,0),0)+IF(AND(ISNUMBER(O8),COUNT(O$2:O$46)&gt;=4),IF(O8&lt;=QUARTILE(O$2:O$46,1),1,0),0)+IF(AND(ISNUMBER(P8),COUNT(P$2:P$46)&gt;=4),IF(P8&lt;=QUARTILE(P$2:P$46,1),1,0),0)+IF(AND(ISNUMBER(Q8),COUNT(Q$2:Q$46)&gt;=4),IF(Q8&lt;=QUARTILE(Q$2:Q$46,1),1,0),0)+IF(AND(ISNUMBER(R8),COUNT(R$2:R$46)&gt;=4),IF(R8&lt;=QUARTILE(R$2:R$46,1),1,0),0)+IF(AND(ISNUMBER(S8),COUNT(S$2:S$46)&gt;=4),IF(S8&lt;=QUARTILE(S$2:S$46,1),1,0),0)+IF(AND(ISNUMBER(T8),COUNT(T$2:T$46)&gt;=4),IF(T8&lt;=QUARTILE(T$2:T$46,1),1,0),0)+IF(AND(ISNUMBER(U8),COUNT(U$2:U$46)&gt;=4),IF(U8&lt;=QUARTILE(U$2:U$46,1),1,0),0)</f>
        <v/>
      </c>
      <c r="X8" s="3">
        <f>IF(W8=0,V8,ROUND(V8/W8,2))</f>
        <v/>
      </c>
      <c r="Y8" s="3">
        <f>IFERROR(IF(VLOOKUP(A8,'Raw Data 5Y'!A:AL,38,FALSE)="","none",VLOOKUP(A8,'Raw Data 5Y'!A:AL,38,FALSE)),"none")</f>
        <v/>
      </c>
      <c r="Z8" s="4" t="inlineStr">
        <is>
          <t>Source</t>
        </is>
      </c>
    </row>
    <row r="9">
      <c r="A9">
        <f>'Raw Data 5Y'!A35</f>
        <v/>
      </c>
      <c r="B9" s="3">
        <f>IFERROR((('Raw Data 5Y'!C35/'Raw Data 5Y'!B35)^(1/'Raw Data 5Y'!D35)-1)*100,"")</f>
        <v/>
      </c>
      <c r="C9" s="3">
        <f>'Raw Data 5Y'!E35</f>
        <v/>
      </c>
      <c r="D9" s="3">
        <f>INT('Raw Data 5Y'!D35)</f>
        <v/>
      </c>
      <c r="E9" s="3">
        <f>IFERROR(AVERAGE(F9:U9),"")</f>
        <v/>
      </c>
      <c r="F9" s="3">
        <f>IFERROR((('Raw Data 5Y'!G35/'Raw Data 5Y'!F35)^(1/5)-1)*100,"")</f>
        <v/>
      </c>
      <c r="G9" s="3">
        <f>IFERROR((('Raw Data 5Y'!I35/'Raw Data 5Y'!H35)^(1/5)-1)*100,"")</f>
        <v/>
      </c>
      <c r="H9" s="3">
        <f>IFERROR((('Raw Data 5Y'!K35/'Raw Data 5Y'!J35)^(1/5)-1)*100,"")</f>
        <v/>
      </c>
      <c r="I9" s="3">
        <f>IFERROR((('Raw Data 5Y'!M35/'Raw Data 5Y'!L35)^(1/5)-1)*100,"")</f>
        <v/>
      </c>
      <c r="J9" s="3">
        <f>IFERROR((('Raw Data 5Y'!O35/'Raw Data 5Y'!N35)^(1/5)-1)*100,"")</f>
        <v/>
      </c>
      <c r="K9" s="3">
        <f>IFERROR((('Raw Data 5Y'!Q35/'Raw Data 5Y'!P35)^(1/5)-1)*100,"")</f>
        <v/>
      </c>
      <c r="L9" s="3">
        <f>IFERROR((('Raw Data 5Y'!S35/'Raw Data 5Y'!R35)^(1/5)-1)*100,"")</f>
        <v/>
      </c>
      <c r="M9" s="3">
        <f>IFERROR((('Raw Data 5Y'!U35/'Raw Data 5Y'!T35)^(1/5)-1)*100,"")</f>
        <v/>
      </c>
      <c r="N9" s="3">
        <f>IFERROR((('Raw Data 5Y'!W35/'Raw Data 5Y'!V35)^(1/5)-1)*100,"")</f>
        <v/>
      </c>
      <c r="O9" s="3">
        <f>IFERROR((('Raw Data 5Y'!Y35/'Raw Data 5Y'!X35)^(1/5)-1)*100,"")</f>
        <v/>
      </c>
      <c r="P9" s="3">
        <f>IFERROR((('Raw Data 5Y'!AA35/'Raw Data 5Y'!Z35)^(1/5)-1)*100,"")</f>
        <v/>
      </c>
      <c r="Q9" s="3">
        <f>IFERROR((('Raw Data 5Y'!AC35/'Raw Data 5Y'!AB35)^(1/5)-1)*100,"")</f>
        <v/>
      </c>
      <c r="R9" s="3">
        <f>IFERROR((('Raw Data 5Y'!AE35/'Raw Data 5Y'!AD35)^(1/5)-1)*100,"")</f>
        <v/>
      </c>
      <c r="S9" s="3">
        <f>IFERROR((('Raw Data 5Y'!AG35/'Raw Data 5Y'!AF35)^(1/5)-1)*100,"")</f>
        <v/>
      </c>
      <c r="T9" s="3">
        <f>IFERROR((('Raw Data 5Y'!AI35/'Raw Data 5Y'!AH35)^(1/5)-1)*100,"")</f>
        <v/>
      </c>
      <c r="U9" s="3">
        <f>IFERROR((('Raw Data 5Y'!AK35/'Raw Data 5Y'!AJ35)^(1/5)-1)*100,"")</f>
        <v/>
      </c>
      <c r="V9" s="3">
        <f>IF(AND(ISNUMBER(F9),COUNT(F$2:F$46)&gt;=4),IF(F9&gt;=QUARTILE(F$2:F$46,3),1,0),0)+IF(AND(ISNUMBER(G9),COUNT(G$2:G$46)&gt;=4),IF(G9&gt;=QUARTILE(G$2:G$46,3),1,0),0)+IF(AND(ISNUMBER(H9),COUNT(H$2:H$46)&gt;=4),IF(H9&gt;=QUARTILE(H$2:H$46,3),1,0),0)+IF(AND(ISNUMBER(I9),COUNT(I$2:I$46)&gt;=4),IF(I9&gt;=QUARTILE(I$2:I$46,3),1,0),0)+IF(AND(ISNUMBER(J9),COUNT(J$2:J$46)&gt;=4),IF(J9&gt;=QUARTILE(J$2:J$46,3),1,0),0)+IF(AND(ISNUMBER(K9),COUNT(K$2:K$46)&gt;=4),IF(K9&gt;=QUARTILE(K$2:K$46,3),1,0),0)+IF(AND(ISNUMBER(L9),COUNT(L$2:L$46)&gt;=4),IF(L9&gt;=QUARTILE(L$2:L$46,3),1,0),0)+IF(AND(ISNUMBER(M9),COUNT(M$2:M$46)&gt;=4),IF(M9&gt;=QUARTILE(M$2:M$46,3),1,0),0)+IF(AND(ISNUMBER(N9),COUNT(N$2:N$46)&gt;=4),IF(N9&gt;=QUARTILE(N$2:N$46,3),1,0),0)+IF(AND(ISNUMBER(O9),COUNT(O$2:O$46)&gt;=4),IF(O9&gt;=QUARTILE(O$2:O$46,3),1,0),0)+IF(AND(ISNUMBER(P9),COUNT(P$2:P$46)&gt;=4),IF(P9&gt;=QUARTILE(P$2:P$46,3),1,0),0)+IF(AND(ISNUMBER(Q9),COUNT(Q$2:Q$46)&gt;=4),IF(Q9&gt;=QUARTILE(Q$2:Q$46,3),1,0),0)+IF(AND(ISNUMBER(R9),COUNT(R$2:R$46)&gt;=4),IF(R9&gt;=QUARTILE(R$2:R$46,3),1,0),0)+IF(AND(ISNUMBER(S9),COUNT(S$2:S$46)&gt;=4),IF(S9&gt;=QUARTILE(S$2:S$46,3),1,0),0)+IF(AND(ISNUMBER(T9),COUNT(T$2:T$46)&gt;=4),IF(T9&gt;=QUARTILE(T$2:T$46,3),1,0),0)+IF(AND(ISNUMBER(U9),COUNT(U$2:U$46)&gt;=4),IF(U9&gt;=QUARTILE(U$2:U$46,3),1,0),0)</f>
        <v/>
      </c>
      <c r="W9" s="3">
        <f>IF(AND(ISNUMBER(F9),COUNT(F$2:F$46)&gt;=4),IF(F9&lt;=QUARTILE(F$2:F$46,1),1,0),0)+IF(AND(ISNUMBER(G9),COUNT(G$2:G$46)&gt;=4),IF(G9&lt;=QUARTILE(G$2:G$46,1),1,0),0)+IF(AND(ISNUMBER(H9),COUNT(H$2:H$46)&gt;=4),IF(H9&lt;=QUARTILE(H$2:H$46,1),1,0),0)+IF(AND(ISNUMBER(I9),COUNT(I$2:I$46)&gt;=4),IF(I9&lt;=QUARTILE(I$2:I$46,1),1,0),0)+IF(AND(ISNUMBER(J9),COUNT(J$2:J$46)&gt;=4),IF(J9&lt;=QUARTILE(J$2:J$46,1),1,0),0)+IF(AND(ISNUMBER(K9),COUNT(K$2:K$46)&gt;=4),IF(K9&lt;=QUARTILE(K$2:K$46,1),1,0),0)+IF(AND(ISNUMBER(L9),COUNT(L$2:L$46)&gt;=4),IF(L9&lt;=QUARTILE(L$2:L$46,1),1,0),0)+IF(AND(ISNUMBER(M9),COUNT(M$2:M$46)&gt;=4),IF(M9&lt;=QUARTILE(M$2:M$46,1),1,0),0)+IF(AND(ISNUMBER(N9),COUNT(N$2:N$46)&gt;=4),IF(N9&lt;=QUARTILE(N$2:N$46,1),1,0),0)+IF(AND(ISNUMBER(O9),COUNT(O$2:O$46)&gt;=4),IF(O9&lt;=QUARTILE(O$2:O$46,1),1,0),0)+IF(AND(ISNUMBER(P9),COUNT(P$2:P$46)&gt;=4),IF(P9&lt;=QUARTILE(P$2:P$46,1),1,0),0)+IF(AND(ISNUMBER(Q9),COUNT(Q$2:Q$46)&gt;=4),IF(Q9&lt;=QUARTILE(Q$2:Q$46,1),1,0),0)+IF(AND(ISNUMBER(R9),COUNT(R$2:R$46)&gt;=4),IF(R9&lt;=QUARTILE(R$2:R$46,1),1,0),0)+IF(AND(ISNUMBER(S9),COUNT(S$2:S$46)&gt;=4),IF(S9&lt;=QUARTILE(S$2:S$46,1),1,0),0)+IF(AND(ISNUMBER(T9),COUNT(T$2:T$46)&gt;=4),IF(T9&lt;=QUARTILE(T$2:T$46,1),1,0),0)+IF(AND(ISNUMBER(U9),COUNT(U$2:U$46)&gt;=4),IF(U9&lt;=QUARTILE(U$2:U$46,1),1,0),0)</f>
        <v/>
      </c>
      <c r="X9" s="3">
        <f>IF(W9=0,V9,ROUND(V9/W9,2))</f>
        <v/>
      </c>
      <c r="Y9" s="3">
        <f>IFERROR(IF(VLOOKUP(A9,'Raw Data 5Y'!A:AL,38,FALSE)="","none",VLOOKUP(A9,'Raw Data 5Y'!A:AL,38,FALSE)),"none")</f>
        <v/>
      </c>
      <c r="Z9" s="4" t="inlineStr">
        <is>
          <t>Source</t>
        </is>
      </c>
    </row>
    <row r="10">
      <c r="A10">
        <f>'Raw Data 5Y'!A38</f>
        <v/>
      </c>
      <c r="B10" s="3">
        <f>IFERROR((('Raw Data 5Y'!C38/'Raw Data 5Y'!B38)^(1/'Raw Data 5Y'!D38)-1)*100,"")</f>
        <v/>
      </c>
      <c r="C10" s="3">
        <f>'Raw Data 5Y'!E38</f>
        <v/>
      </c>
      <c r="D10" s="3">
        <f>INT('Raw Data 5Y'!D38)</f>
        <v/>
      </c>
      <c r="E10" s="3">
        <f>IFERROR(AVERAGE(F10:U10),"")</f>
        <v/>
      </c>
      <c r="F10" s="3">
        <f>IFERROR((('Raw Data 5Y'!G38/'Raw Data 5Y'!F38)^(1/5)-1)*100,"")</f>
        <v/>
      </c>
      <c r="G10" s="3">
        <f>IFERROR((('Raw Data 5Y'!I38/'Raw Data 5Y'!H38)^(1/5)-1)*100,"")</f>
        <v/>
      </c>
      <c r="H10" s="3">
        <f>IFERROR((('Raw Data 5Y'!K38/'Raw Data 5Y'!J38)^(1/5)-1)*100,"")</f>
        <v/>
      </c>
      <c r="I10" s="3">
        <f>IFERROR((('Raw Data 5Y'!M38/'Raw Data 5Y'!L38)^(1/5)-1)*100,"")</f>
        <v/>
      </c>
      <c r="J10" s="3">
        <f>IFERROR((('Raw Data 5Y'!O38/'Raw Data 5Y'!N38)^(1/5)-1)*100,"")</f>
        <v/>
      </c>
      <c r="K10" s="3">
        <f>IFERROR((('Raw Data 5Y'!Q38/'Raw Data 5Y'!P38)^(1/5)-1)*100,"")</f>
        <v/>
      </c>
      <c r="L10" s="3">
        <f>IFERROR((('Raw Data 5Y'!S38/'Raw Data 5Y'!R38)^(1/5)-1)*100,"")</f>
        <v/>
      </c>
      <c r="M10" s="3">
        <f>IFERROR((('Raw Data 5Y'!U38/'Raw Data 5Y'!T38)^(1/5)-1)*100,"")</f>
        <v/>
      </c>
      <c r="N10" s="3">
        <f>IFERROR((('Raw Data 5Y'!W38/'Raw Data 5Y'!V38)^(1/5)-1)*100,"")</f>
        <v/>
      </c>
      <c r="O10" s="3">
        <f>IFERROR((('Raw Data 5Y'!Y38/'Raw Data 5Y'!X38)^(1/5)-1)*100,"")</f>
        <v/>
      </c>
      <c r="P10" s="3">
        <f>IFERROR((('Raw Data 5Y'!AA38/'Raw Data 5Y'!Z38)^(1/5)-1)*100,"")</f>
        <v/>
      </c>
      <c r="Q10" s="3">
        <f>IFERROR((('Raw Data 5Y'!AC38/'Raw Data 5Y'!AB38)^(1/5)-1)*100,"")</f>
        <v/>
      </c>
      <c r="R10" s="3">
        <f>IFERROR((('Raw Data 5Y'!AE38/'Raw Data 5Y'!AD38)^(1/5)-1)*100,"")</f>
        <v/>
      </c>
      <c r="S10" s="3">
        <f>IFERROR((('Raw Data 5Y'!AG38/'Raw Data 5Y'!AF38)^(1/5)-1)*100,"")</f>
        <v/>
      </c>
      <c r="T10" s="3">
        <f>IFERROR((('Raw Data 5Y'!AI38/'Raw Data 5Y'!AH38)^(1/5)-1)*100,"")</f>
        <v/>
      </c>
      <c r="U10" s="3">
        <f>IFERROR((('Raw Data 5Y'!AK38/'Raw Data 5Y'!AJ38)^(1/5)-1)*100,"")</f>
        <v/>
      </c>
      <c r="V10" s="3">
        <f>IF(AND(ISNUMBER(F10),COUNT(F$2:F$46)&gt;=4),IF(F10&gt;=QUARTILE(F$2:F$46,3),1,0),0)+IF(AND(ISNUMBER(G10),COUNT(G$2:G$46)&gt;=4),IF(G10&gt;=QUARTILE(G$2:G$46,3),1,0),0)+IF(AND(ISNUMBER(H10),COUNT(H$2:H$46)&gt;=4),IF(H10&gt;=QUARTILE(H$2:H$46,3),1,0),0)+IF(AND(ISNUMBER(I10),COUNT(I$2:I$46)&gt;=4),IF(I10&gt;=QUARTILE(I$2:I$46,3),1,0),0)+IF(AND(ISNUMBER(J10),COUNT(J$2:J$46)&gt;=4),IF(J10&gt;=QUARTILE(J$2:J$46,3),1,0),0)+IF(AND(ISNUMBER(K10),COUNT(K$2:K$46)&gt;=4),IF(K10&gt;=QUARTILE(K$2:K$46,3),1,0),0)+IF(AND(ISNUMBER(L10),COUNT(L$2:L$46)&gt;=4),IF(L10&gt;=QUARTILE(L$2:L$46,3),1,0),0)+IF(AND(ISNUMBER(M10),COUNT(M$2:M$46)&gt;=4),IF(M10&gt;=QUARTILE(M$2:M$46,3),1,0),0)+IF(AND(ISNUMBER(N10),COUNT(N$2:N$46)&gt;=4),IF(N10&gt;=QUARTILE(N$2:N$46,3),1,0),0)+IF(AND(ISNUMBER(O10),COUNT(O$2:O$46)&gt;=4),IF(O10&gt;=QUARTILE(O$2:O$46,3),1,0),0)+IF(AND(ISNUMBER(P10),COUNT(P$2:P$46)&gt;=4),IF(P10&gt;=QUARTILE(P$2:P$46,3),1,0),0)+IF(AND(ISNUMBER(Q10),COUNT(Q$2:Q$46)&gt;=4),IF(Q10&gt;=QUARTILE(Q$2:Q$46,3),1,0),0)+IF(AND(ISNUMBER(R10),COUNT(R$2:R$46)&gt;=4),IF(R10&gt;=QUARTILE(R$2:R$46,3),1,0),0)+IF(AND(ISNUMBER(S10),COUNT(S$2:S$46)&gt;=4),IF(S10&gt;=QUARTILE(S$2:S$46,3),1,0),0)+IF(AND(ISNUMBER(T10),COUNT(T$2:T$46)&gt;=4),IF(T10&gt;=QUARTILE(T$2:T$46,3),1,0),0)+IF(AND(ISNUMBER(U10),COUNT(U$2:U$46)&gt;=4),IF(U10&gt;=QUARTILE(U$2:U$46,3),1,0),0)</f>
        <v/>
      </c>
      <c r="W10" s="3">
        <f>IF(AND(ISNUMBER(F10),COUNT(F$2:F$46)&gt;=4),IF(F10&lt;=QUARTILE(F$2:F$46,1),1,0),0)+IF(AND(ISNUMBER(G10),COUNT(G$2:G$46)&gt;=4),IF(G10&lt;=QUARTILE(G$2:G$46,1),1,0),0)+IF(AND(ISNUMBER(H10),COUNT(H$2:H$46)&gt;=4),IF(H10&lt;=QUARTILE(H$2:H$46,1),1,0),0)+IF(AND(ISNUMBER(I10),COUNT(I$2:I$46)&gt;=4),IF(I10&lt;=QUARTILE(I$2:I$46,1),1,0),0)+IF(AND(ISNUMBER(J10),COUNT(J$2:J$46)&gt;=4),IF(J10&lt;=QUARTILE(J$2:J$46,1),1,0),0)+IF(AND(ISNUMBER(K10),COUNT(K$2:K$46)&gt;=4),IF(K10&lt;=QUARTILE(K$2:K$46,1),1,0),0)+IF(AND(ISNUMBER(L10),COUNT(L$2:L$46)&gt;=4),IF(L10&lt;=QUARTILE(L$2:L$46,1),1,0),0)+IF(AND(ISNUMBER(M10),COUNT(M$2:M$46)&gt;=4),IF(M10&lt;=QUARTILE(M$2:M$46,1),1,0),0)+IF(AND(ISNUMBER(N10),COUNT(N$2:N$46)&gt;=4),IF(N10&lt;=QUARTILE(N$2:N$46,1),1,0),0)+IF(AND(ISNUMBER(O10),COUNT(O$2:O$46)&gt;=4),IF(O10&lt;=QUARTILE(O$2:O$46,1),1,0),0)+IF(AND(ISNUMBER(P10),COUNT(P$2:P$46)&gt;=4),IF(P10&lt;=QUARTILE(P$2:P$46,1),1,0),0)+IF(AND(ISNUMBER(Q10),COUNT(Q$2:Q$46)&gt;=4),IF(Q10&lt;=QUARTILE(Q$2:Q$46,1),1,0),0)+IF(AND(ISNUMBER(R10),COUNT(R$2:R$46)&gt;=4),IF(R10&lt;=QUARTILE(R$2:R$46,1),1,0),0)+IF(AND(ISNUMBER(S10),COUNT(S$2:S$46)&gt;=4),IF(S10&lt;=QUARTILE(S$2:S$46,1),1,0),0)+IF(AND(ISNUMBER(T10),COUNT(T$2:T$46)&gt;=4),IF(T10&lt;=QUARTILE(T$2:T$46,1),1,0),0)+IF(AND(ISNUMBER(U10),COUNT(U$2:U$46)&gt;=4),IF(U10&lt;=QUARTILE(U$2:U$46,1),1,0),0)</f>
        <v/>
      </c>
      <c r="X10" s="3">
        <f>IF(W10=0,V10,ROUND(V10/W10,2))</f>
        <v/>
      </c>
      <c r="Y10" s="3">
        <f>IFERROR(IF(VLOOKUP(A10,'Raw Data 5Y'!A:AL,38,FALSE)="","none",VLOOKUP(A10,'Raw Data 5Y'!A:AL,38,FALSE)),"none")</f>
        <v/>
      </c>
      <c r="Z10" s="4" t="inlineStr">
        <is>
          <t>Source</t>
        </is>
      </c>
    </row>
    <row r="11">
      <c r="A11">
        <f>'Raw Data 5Y'!A20</f>
        <v/>
      </c>
      <c r="B11" s="3">
        <f>IFERROR((('Raw Data 5Y'!C20/'Raw Data 5Y'!B20)^(1/'Raw Data 5Y'!D20)-1)*100,"")</f>
        <v/>
      </c>
      <c r="C11" s="3">
        <f>'Raw Data 5Y'!E20</f>
        <v/>
      </c>
      <c r="D11" s="3">
        <f>INT('Raw Data 5Y'!D20)</f>
        <v/>
      </c>
      <c r="E11" s="3">
        <f>IFERROR(AVERAGE(F11:U11),"")</f>
        <v/>
      </c>
      <c r="F11" s="3">
        <f>IFERROR((('Raw Data 5Y'!G20/'Raw Data 5Y'!F20)^(1/5)-1)*100,"")</f>
        <v/>
      </c>
      <c r="G11" s="3">
        <f>IFERROR((('Raw Data 5Y'!I20/'Raw Data 5Y'!H20)^(1/5)-1)*100,"")</f>
        <v/>
      </c>
      <c r="H11" s="3">
        <f>IFERROR((('Raw Data 5Y'!K20/'Raw Data 5Y'!J20)^(1/5)-1)*100,"")</f>
        <v/>
      </c>
      <c r="I11" s="3">
        <f>IFERROR((('Raw Data 5Y'!M20/'Raw Data 5Y'!L20)^(1/5)-1)*100,"")</f>
        <v/>
      </c>
      <c r="J11" s="3">
        <f>IFERROR((('Raw Data 5Y'!O20/'Raw Data 5Y'!N20)^(1/5)-1)*100,"")</f>
        <v/>
      </c>
      <c r="K11" s="3">
        <f>IFERROR((('Raw Data 5Y'!Q20/'Raw Data 5Y'!P20)^(1/5)-1)*100,"")</f>
        <v/>
      </c>
      <c r="L11" s="3">
        <f>IFERROR((('Raw Data 5Y'!S20/'Raw Data 5Y'!R20)^(1/5)-1)*100,"")</f>
        <v/>
      </c>
      <c r="M11" s="3">
        <f>IFERROR((('Raw Data 5Y'!U20/'Raw Data 5Y'!T20)^(1/5)-1)*100,"")</f>
        <v/>
      </c>
      <c r="N11" s="3">
        <f>IFERROR((('Raw Data 5Y'!W20/'Raw Data 5Y'!V20)^(1/5)-1)*100,"")</f>
        <v/>
      </c>
      <c r="O11" s="3">
        <f>IFERROR((('Raw Data 5Y'!Y20/'Raw Data 5Y'!X20)^(1/5)-1)*100,"")</f>
        <v/>
      </c>
      <c r="P11" s="3">
        <f>IFERROR((('Raw Data 5Y'!AA20/'Raw Data 5Y'!Z20)^(1/5)-1)*100,"")</f>
        <v/>
      </c>
      <c r="Q11" s="3">
        <f>IFERROR((('Raw Data 5Y'!AC20/'Raw Data 5Y'!AB20)^(1/5)-1)*100,"")</f>
        <v/>
      </c>
      <c r="R11" s="3">
        <f>IFERROR((('Raw Data 5Y'!AE20/'Raw Data 5Y'!AD20)^(1/5)-1)*100,"")</f>
        <v/>
      </c>
      <c r="S11" s="3">
        <f>IFERROR((('Raw Data 5Y'!AG20/'Raw Data 5Y'!AF20)^(1/5)-1)*100,"")</f>
        <v/>
      </c>
      <c r="T11" s="3">
        <f>IFERROR((('Raw Data 5Y'!AI20/'Raw Data 5Y'!AH20)^(1/5)-1)*100,"")</f>
        <v/>
      </c>
      <c r="U11" s="3">
        <f>IFERROR((('Raw Data 5Y'!AK20/'Raw Data 5Y'!AJ20)^(1/5)-1)*100,"")</f>
        <v/>
      </c>
      <c r="V11" s="3">
        <f>IF(AND(ISNUMBER(F11),COUNT(F$2:F$46)&gt;=4),IF(F11&gt;=QUARTILE(F$2:F$46,3),1,0),0)+IF(AND(ISNUMBER(G11),COUNT(G$2:G$46)&gt;=4),IF(G11&gt;=QUARTILE(G$2:G$46,3),1,0),0)+IF(AND(ISNUMBER(H11),COUNT(H$2:H$46)&gt;=4),IF(H11&gt;=QUARTILE(H$2:H$46,3),1,0),0)+IF(AND(ISNUMBER(I11),COUNT(I$2:I$46)&gt;=4),IF(I11&gt;=QUARTILE(I$2:I$46,3),1,0),0)+IF(AND(ISNUMBER(J11),COUNT(J$2:J$46)&gt;=4),IF(J11&gt;=QUARTILE(J$2:J$46,3),1,0),0)+IF(AND(ISNUMBER(K11),COUNT(K$2:K$46)&gt;=4),IF(K11&gt;=QUARTILE(K$2:K$46,3),1,0),0)+IF(AND(ISNUMBER(L11),COUNT(L$2:L$46)&gt;=4),IF(L11&gt;=QUARTILE(L$2:L$46,3),1,0),0)+IF(AND(ISNUMBER(M11),COUNT(M$2:M$46)&gt;=4),IF(M11&gt;=QUARTILE(M$2:M$46,3),1,0),0)+IF(AND(ISNUMBER(N11),COUNT(N$2:N$46)&gt;=4),IF(N11&gt;=QUARTILE(N$2:N$46,3),1,0),0)+IF(AND(ISNUMBER(O11),COUNT(O$2:O$46)&gt;=4),IF(O11&gt;=QUARTILE(O$2:O$46,3),1,0),0)+IF(AND(ISNUMBER(P11),COUNT(P$2:P$46)&gt;=4),IF(P11&gt;=QUARTILE(P$2:P$46,3),1,0),0)+IF(AND(ISNUMBER(Q11),COUNT(Q$2:Q$46)&gt;=4),IF(Q11&gt;=QUARTILE(Q$2:Q$46,3),1,0),0)+IF(AND(ISNUMBER(R11),COUNT(R$2:R$46)&gt;=4),IF(R11&gt;=QUARTILE(R$2:R$46,3),1,0),0)+IF(AND(ISNUMBER(S11),COUNT(S$2:S$46)&gt;=4),IF(S11&gt;=QUARTILE(S$2:S$46,3),1,0),0)+IF(AND(ISNUMBER(T11),COUNT(T$2:T$46)&gt;=4),IF(T11&gt;=QUARTILE(T$2:T$46,3),1,0),0)+IF(AND(ISNUMBER(U11),COUNT(U$2:U$46)&gt;=4),IF(U11&gt;=QUARTILE(U$2:U$46,3),1,0),0)</f>
        <v/>
      </c>
      <c r="W11" s="3">
        <f>IF(AND(ISNUMBER(F11),COUNT(F$2:F$46)&gt;=4),IF(F11&lt;=QUARTILE(F$2:F$46,1),1,0),0)+IF(AND(ISNUMBER(G11),COUNT(G$2:G$46)&gt;=4),IF(G11&lt;=QUARTILE(G$2:G$46,1),1,0),0)+IF(AND(ISNUMBER(H11),COUNT(H$2:H$46)&gt;=4),IF(H11&lt;=QUARTILE(H$2:H$46,1),1,0),0)+IF(AND(ISNUMBER(I11),COUNT(I$2:I$46)&gt;=4),IF(I11&lt;=QUARTILE(I$2:I$46,1),1,0),0)+IF(AND(ISNUMBER(J11),COUNT(J$2:J$46)&gt;=4),IF(J11&lt;=QUARTILE(J$2:J$46,1),1,0),0)+IF(AND(ISNUMBER(K11),COUNT(K$2:K$46)&gt;=4),IF(K11&lt;=QUARTILE(K$2:K$46,1),1,0),0)+IF(AND(ISNUMBER(L11),COUNT(L$2:L$46)&gt;=4),IF(L11&lt;=QUARTILE(L$2:L$46,1),1,0),0)+IF(AND(ISNUMBER(M11),COUNT(M$2:M$46)&gt;=4),IF(M11&lt;=QUARTILE(M$2:M$46,1),1,0),0)+IF(AND(ISNUMBER(N11),COUNT(N$2:N$46)&gt;=4),IF(N11&lt;=QUARTILE(N$2:N$46,1),1,0),0)+IF(AND(ISNUMBER(O11),COUNT(O$2:O$46)&gt;=4),IF(O11&lt;=QUARTILE(O$2:O$46,1),1,0),0)+IF(AND(ISNUMBER(P11),COUNT(P$2:P$46)&gt;=4),IF(P11&lt;=QUARTILE(P$2:P$46,1),1,0),0)+IF(AND(ISNUMBER(Q11),COUNT(Q$2:Q$46)&gt;=4),IF(Q11&lt;=QUARTILE(Q$2:Q$46,1),1,0),0)+IF(AND(ISNUMBER(R11),COUNT(R$2:R$46)&gt;=4),IF(R11&lt;=QUARTILE(R$2:R$46,1),1,0),0)+IF(AND(ISNUMBER(S11),COUNT(S$2:S$46)&gt;=4),IF(S11&lt;=QUARTILE(S$2:S$46,1),1,0),0)+IF(AND(ISNUMBER(T11),COUNT(T$2:T$46)&gt;=4),IF(T11&lt;=QUARTILE(T$2:T$46,1),1,0),0)+IF(AND(ISNUMBER(U11),COUNT(U$2:U$46)&gt;=4),IF(U11&lt;=QUARTILE(U$2:U$46,1),1,0),0)</f>
        <v/>
      </c>
      <c r="X11" s="3">
        <f>IF(W11=0,V11,ROUND(V11/W11,2))</f>
        <v/>
      </c>
      <c r="Y11" s="3">
        <f>IFERROR(IF(VLOOKUP(A11,'Raw Data 5Y'!A:AL,38,FALSE)="","none",VLOOKUP(A11,'Raw Data 5Y'!A:AL,38,FALSE)),"none")</f>
        <v/>
      </c>
      <c r="Z11" s="4" t="inlineStr">
        <is>
          <t>Source</t>
        </is>
      </c>
    </row>
    <row r="12">
      <c r="A12">
        <f>'Raw Data 5Y'!A14</f>
        <v/>
      </c>
      <c r="B12" s="3">
        <f>IFERROR((('Raw Data 5Y'!C14/'Raw Data 5Y'!B14)^(1/'Raw Data 5Y'!D14)-1)*100,"")</f>
        <v/>
      </c>
      <c r="C12" s="3">
        <f>'Raw Data 5Y'!E14</f>
        <v/>
      </c>
      <c r="D12" s="3">
        <f>INT('Raw Data 5Y'!D14)</f>
        <v/>
      </c>
      <c r="E12" s="3">
        <f>IFERROR(AVERAGE(F12:U12),"")</f>
        <v/>
      </c>
      <c r="F12" s="3">
        <f>IFERROR((('Raw Data 5Y'!G14/'Raw Data 5Y'!F14)^(1/5)-1)*100,"")</f>
        <v/>
      </c>
      <c r="G12" s="3">
        <f>IFERROR((('Raw Data 5Y'!I14/'Raw Data 5Y'!H14)^(1/5)-1)*100,"")</f>
        <v/>
      </c>
      <c r="H12" s="3">
        <f>IFERROR((('Raw Data 5Y'!K14/'Raw Data 5Y'!J14)^(1/5)-1)*100,"")</f>
        <v/>
      </c>
      <c r="I12" s="3">
        <f>IFERROR((('Raw Data 5Y'!M14/'Raw Data 5Y'!L14)^(1/5)-1)*100,"")</f>
        <v/>
      </c>
      <c r="J12" s="3">
        <f>IFERROR((('Raw Data 5Y'!O14/'Raw Data 5Y'!N14)^(1/5)-1)*100,"")</f>
        <v/>
      </c>
      <c r="K12" s="3">
        <f>IFERROR((('Raw Data 5Y'!Q14/'Raw Data 5Y'!P14)^(1/5)-1)*100,"")</f>
        <v/>
      </c>
      <c r="L12" s="3">
        <f>IFERROR((('Raw Data 5Y'!S14/'Raw Data 5Y'!R14)^(1/5)-1)*100,"")</f>
        <v/>
      </c>
      <c r="M12" s="3">
        <f>IFERROR((('Raw Data 5Y'!U14/'Raw Data 5Y'!T14)^(1/5)-1)*100,"")</f>
        <v/>
      </c>
      <c r="N12" s="3">
        <f>IFERROR((('Raw Data 5Y'!W14/'Raw Data 5Y'!V14)^(1/5)-1)*100,"")</f>
        <v/>
      </c>
      <c r="O12" s="3">
        <f>IFERROR((('Raw Data 5Y'!Y14/'Raw Data 5Y'!X14)^(1/5)-1)*100,"")</f>
        <v/>
      </c>
      <c r="P12" s="3">
        <f>IFERROR((('Raw Data 5Y'!AA14/'Raw Data 5Y'!Z14)^(1/5)-1)*100,"")</f>
        <v/>
      </c>
      <c r="Q12" s="3">
        <f>IFERROR((('Raw Data 5Y'!AC14/'Raw Data 5Y'!AB14)^(1/5)-1)*100,"")</f>
        <v/>
      </c>
      <c r="R12" s="3">
        <f>IFERROR((('Raw Data 5Y'!AE14/'Raw Data 5Y'!AD14)^(1/5)-1)*100,"")</f>
        <v/>
      </c>
      <c r="S12" s="3">
        <f>IFERROR((('Raw Data 5Y'!AG14/'Raw Data 5Y'!AF14)^(1/5)-1)*100,"")</f>
        <v/>
      </c>
      <c r="T12" s="3">
        <f>IFERROR((('Raw Data 5Y'!AI14/'Raw Data 5Y'!AH14)^(1/5)-1)*100,"")</f>
        <v/>
      </c>
      <c r="U12" s="3">
        <f>IFERROR((('Raw Data 5Y'!AK14/'Raw Data 5Y'!AJ14)^(1/5)-1)*100,"")</f>
        <v/>
      </c>
      <c r="V12" s="3">
        <f>IF(AND(ISNUMBER(F12),COUNT(F$2:F$46)&gt;=4),IF(F12&gt;=QUARTILE(F$2:F$46,3),1,0),0)+IF(AND(ISNUMBER(G12),COUNT(G$2:G$46)&gt;=4),IF(G12&gt;=QUARTILE(G$2:G$46,3),1,0),0)+IF(AND(ISNUMBER(H12),COUNT(H$2:H$46)&gt;=4),IF(H12&gt;=QUARTILE(H$2:H$46,3),1,0),0)+IF(AND(ISNUMBER(I12),COUNT(I$2:I$46)&gt;=4),IF(I12&gt;=QUARTILE(I$2:I$46,3),1,0),0)+IF(AND(ISNUMBER(J12),COUNT(J$2:J$46)&gt;=4),IF(J12&gt;=QUARTILE(J$2:J$46,3),1,0),0)+IF(AND(ISNUMBER(K12),COUNT(K$2:K$46)&gt;=4),IF(K12&gt;=QUARTILE(K$2:K$46,3),1,0),0)+IF(AND(ISNUMBER(L12),COUNT(L$2:L$46)&gt;=4),IF(L12&gt;=QUARTILE(L$2:L$46,3),1,0),0)+IF(AND(ISNUMBER(M12),COUNT(M$2:M$46)&gt;=4),IF(M12&gt;=QUARTILE(M$2:M$46,3),1,0),0)+IF(AND(ISNUMBER(N12),COUNT(N$2:N$46)&gt;=4),IF(N12&gt;=QUARTILE(N$2:N$46,3),1,0),0)+IF(AND(ISNUMBER(O12),COUNT(O$2:O$46)&gt;=4),IF(O12&gt;=QUARTILE(O$2:O$46,3),1,0),0)+IF(AND(ISNUMBER(P12),COUNT(P$2:P$46)&gt;=4),IF(P12&gt;=QUARTILE(P$2:P$46,3),1,0),0)+IF(AND(ISNUMBER(Q12),COUNT(Q$2:Q$46)&gt;=4),IF(Q12&gt;=QUARTILE(Q$2:Q$46,3),1,0),0)+IF(AND(ISNUMBER(R12),COUNT(R$2:R$46)&gt;=4),IF(R12&gt;=QUARTILE(R$2:R$46,3),1,0),0)+IF(AND(ISNUMBER(S12),COUNT(S$2:S$46)&gt;=4),IF(S12&gt;=QUARTILE(S$2:S$46,3),1,0),0)+IF(AND(ISNUMBER(T12),COUNT(T$2:T$46)&gt;=4),IF(T12&gt;=QUARTILE(T$2:T$46,3),1,0),0)+IF(AND(ISNUMBER(U12),COUNT(U$2:U$46)&gt;=4),IF(U12&gt;=QUARTILE(U$2:U$46,3),1,0),0)</f>
        <v/>
      </c>
      <c r="W12" s="3">
        <f>IF(AND(ISNUMBER(F12),COUNT(F$2:F$46)&gt;=4),IF(F12&lt;=QUARTILE(F$2:F$46,1),1,0),0)+IF(AND(ISNUMBER(G12),COUNT(G$2:G$46)&gt;=4),IF(G12&lt;=QUARTILE(G$2:G$46,1),1,0),0)+IF(AND(ISNUMBER(H12),COUNT(H$2:H$46)&gt;=4),IF(H12&lt;=QUARTILE(H$2:H$46,1),1,0),0)+IF(AND(ISNUMBER(I12),COUNT(I$2:I$46)&gt;=4),IF(I12&lt;=QUARTILE(I$2:I$46,1),1,0),0)+IF(AND(ISNUMBER(J12),COUNT(J$2:J$46)&gt;=4),IF(J12&lt;=QUARTILE(J$2:J$46,1),1,0),0)+IF(AND(ISNUMBER(K12),COUNT(K$2:K$46)&gt;=4),IF(K12&lt;=QUARTILE(K$2:K$46,1),1,0),0)+IF(AND(ISNUMBER(L12),COUNT(L$2:L$46)&gt;=4),IF(L12&lt;=QUARTILE(L$2:L$46,1),1,0),0)+IF(AND(ISNUMBER(M12),COUNT(M$2:M$46)&gt;=4),IF(M12&lt;=QUARTILE(M$2:M$46,1),1,0),0)+IF(AND(ISNUMBER(N12),COUNT(N$2:N$46)&gt;=4),IF(N12&lt;=QUARTILE(N$2:N$46,1),1,0),0)+IF(AND(ISNUMBER(O12),COUNT(O$2:O$46)&gt;=4),IF(O12&lt;=QUARTILE(O$2:O$46,1),1,0),0)+IF(AND(ISNUMBER(P12),COUNT(P$2:P$46)&gt;=4),IF(P12&lt;=QUARTILE(P$2:P$46,1),1,0),0)+IF(AND(ISNUMBER(Q12),COUNT(Q$2:Q$46)&gt;=4),IF(Q12&lt;=QUARTILE(Q$2:Q$46,1),1,0),0)+IF(AND(ISNUMBER(R12),COUNT(R$2:R$46)&gt;=4),IF(R12&lt;=QUARTILE(R$2:R$46,1),1,0),0)+IF(AND(ISNUMBER(S12),COUNT(S$2:S$46)&gt;=4),IF(S12&lt;=QUARTILE(S$2:S$46,1),1,0),0)+IF(AND(ISNUMBER(T12),COUNT(T$2:T$46)&gt;=4),IF(T12&lt;=QUARTILE(T$2:T$46,1),1,0),0)+IF(AND(ISNUMBER(U12),COUNT(U$2:U$46)&gt;=4),IF(U12&lt;=QUARTILE(U$2:U$46,1),1,0),0)</f>
        <v/>
      </c>
      <c r="X12" s="3">
        <f>IF(W12=0,V12,ROUND(V12/W12,2))</f>
        <v/>
      </c>
      <c r="Y12" s="3">
        <f>IFERROR(IF(VLOOKUP(A12,'Raw Data 5Y'!A:AL,38,FALSE)="","none",VLOOKUP(A12,'Raw Data 5Y'!A:AL,38,FALSE)),"none")</f>
        <v/>
      </c>
      <c r="Z12" s="4" t="inlineStr">
        <is>
          <t>Source</t>
        </is>
      </c>
    </row>
    <row r="13">
      <c r="A13">
        <f>'Raw Data 5Y'!A36</f>
        <v/>
      </c>
      <c r="B13" s="3">
        <f>IFERROR((('Raw Data 5Y'!C36/'Raw Data 5Y'!B36)^(1/'Raw Data 5Y'!D36)-1)*100,"")</f>
        <v/>
      </c>
      <c r="C13" s="3">
        <f>'Raw Data 5Y'!E36</f>
        <v/>
      </c>
      <c r="D13" s="3">
        <f>INT('Raw Data 5Y'!D36)</f>
        <v/>
      </c>
      <c r="E13" s="3">
        <f>IFERROR(AVERAGE(F13:U13),"")</f>
        <v/>
      </c>
      <c r="F13" s="3">
        <f>IFERROR((('Raw Data 5Y'!G36/'Raw Data 5Y'!F36)^(1/5)-1)*100,"")</f>
        <v/>
      </c>
      <c r="G13" s="3">
        <f>IFERROR((('Raw Data 5Y'!I36/'Raw Data 5Y'!H36)^(1/5)-1)*100,"")</f>
        <v/>
      </c>
      <c r="H13" s="3">
        <f>IFERROR((('Raw Data 5Y'!K36/'Raw Data 5Y'!J36)^(1/5)-1)*100,"")</f>
        <v/>
      </c>
      <c r="I13" s="3">
        <f>IFERROR((('Raw Data 5Y'!M36/'Raw Data 5Y'!L36)^(1/5)-1)*100,"")</f>
        <v/>
      </c>
      <c r="J13" s="3">
        <f>IFERROR((('Raw Data 5Y'!O36/'Raw Data 5Y'!N36)^(1/5)-1)*100,"")</f>
        <v/>
      </c>
      <c r="K13" s="3">
        <f>IFERROR((('Raw Data 5Y'!Q36/'Raw Data 5Y'!P36)^(1/5)-1)*100,"")</f>
        <v/>
      </c>
      <c r="L13" s="3">
        <f>IFERROR((('Raw Data 5Y'!S36/'Raw Data 5Y'!R36)^(1/5)-1)*100,"")</f>
        <v/>
      </c>
      <c r="M13" s="3">
        <f>IFERROR((('Raw Data 5Y'!U36/'Raw Data 5Y'!T36)^(1/5)-1)*100,"")</f>
        <v/>
      </c>
      <c r="N13" s="3">
        <f>IFERROR((('Raw Data 5Y'!W36/'Raw Data 5Y'!V36)^(1/5)-1)*100,"")</f>
        <v/>
      </c>
      <c r="O13" s="3">
        <f>IFERROR((('Raw Data 5Y'!Y36/'Raw Data 5Y'!X36)^(1/5)-1)*100,"")</f>
        <v/>
      </c>
      <c r="P13" s="3">
        <f>IFERROR((('Raw Data 5Y'!AA36/'Raw Data 5Y'!Z36)^(1/5)-1)*100,"")</f>
        <v/>
      </c>
      <c r="Q13" s="3">
        <f>IFERROR((('Raw Data 5Y'!AC36/'Raw Data 5Y'!AB36)^(1/5)-1)*100,"")</f>
        <v/>
      </c>
      <c r="R13" s="3">
        <f>IFERROR((('Raw Data 5Y'!AE36/'Raw Data 5Y'!AD36)^(1/5)-1)*100,"")</f>
        <v/>
      </c>
      <c r="S13" s="3">
        <f>IFERROR((('Raw Data 5Y'!AG36/'Raw Data 5Y'!AF36)^(1/5)-1)*100,"")</f>
        <v/>
      </c>
      <c r="T13" s="3">
        <f>IFERROR((('Raw Data 5Y'!AI36/'Raw Data 5Y'!AH36)^(1/5)-1)*100,"")</f>
        <v/>
      </c>
      <c r="U13" s="3">
        <f>IFERROR((('Raw Data 5Y'!AK36/'Raw Data 5Y'!AJ36)^(1/5)-1)*100,"")</f>
        <v/>
      </c>
      <c r="V13" s="3">
        <f>IF(AND(ISNUMBER(F13),COUNT(F$2:F$46)&gt;=4),IF(F13&gt;=QUARTILE(F$2:F$46,3),1,0),0)+IF(AND(ISNUMBER(G13),COUNT(G$2:G$46)&gt;=4),IF(G13&gt;=QUARTILE(G$2:G$46,3),1,0),0)+IF(AND(ISNUMBER(H13),COUNT(H$2:H$46)&gt;=4),IF(H13&gt;=QUARTILE(H$2:H$46,3),1,0),0)+IF(AND(ISNUMBER(I13),COUNT(I$2:I$46)&gt;=4),IF(I13&gt;=QUARTILE(I$2:I$46,3),1,0),0)+IF(AND(ISNUMBER(J13),COUNT(J$2:J$46)&gt;=4),IF(J13&gt;=QUARTILE(J$2:J$46,3),1,0),0)+IF(AND(ISNUMBER(K13),COUNT(K$2:K$46)&gt;=4),IF(K13&gt;=QUARTILE(K$2:K$46,3),1,0),0)+IF(AND(ISNUMBER(L13),COUNT(L$2:L$46)&gt;=4),IF(L13&gt;=QUARTILE(L$2:L$46,3),1,0),0)+IF(AND(ISNUMBER(M13),COUNT(M$2:M$46)&gt;=4),IF(M13&gt;=QUARTILE(M$2:M$46,3),1,0),0)+IF(AND(ISNUMBER(N13),COUNT(N$2:N$46)&gt;=4),IF(N13&gt;=QUARTILE(N$2:N$46,3),1,0),0)+IF(AND(ISNUMBER(O13),COUNT(O$2:O$46)&gt;=4),IF(O13&gt;=QUARTILE(O$2:O$46,3),1,0),0)+IF(AND(ISNUMBER(P13),COUNT(P$2:P$46)&gt;=4),IF(P13&gt;=QUARTILE(P$2:P$46,3),1,0),0)+IF(AND(ISNUMBER(Q13),COUNT(Q$2:Q$46)&gt;=4),IF(Q13&gt;=QUARTILE(Q$2:Q$46,3),1,0),0)+IF(AND(ISNUMBER(R13),COUNT(R$2:R$46)&gt;=4),IF(R13&gt;=QUARTILE(R$2:R$46,3),1,0),0)+IF(AND(ISNUMBER(S13),COUNT(S$2:S$46)&gt;=4),IF(S13&gt;=QUARTILE(S$2:S$46,3),1,0),0)+IF(AND(ISNUMBER(T13),COUNT(T$2:T$46)&gt;=4),IF(T13&gt;=QUARTILE(T$2:T$46,3),1,0),0)+IF(AND(ISNUMBER(U13),COUNT(U$2:U$46)&gt;=4),IF(U13&gt;=QUARTILE(U$2:U$46,3),1,0),0)</f>
        <v/>
      </c>
      <c r="W13" s="3">
        <f>IF(AND(ISNUMBER(F13),COUNT(F$2:F$46)&gt;=4),IF(F13&lt;=QUARTILE(F$2:F$46,1),1,0),0)+IF(AND(ISNUMBER(G13),COUNT(G$2:G$46)&gt;=4),IF(G13&lt;=QUARTILE(G$2:G$46,1),1,0),0)+IF(AND(ISNUMBER(H13),COUNT(H$2:H$46)&gt;=4),IF(H13&lt;=QUARTILE(H$2:H$46,1),1,0),0)+IF(AND(ISNUMBER(I13),COUNT(I$2:I$46)&gt;=4),IF(I13&lt;=QUARTILE(I$2:I$46,1),1,0),0)+IF(AND(ISNUMBER(J13),COUNT(J$2:J$46)&gt;=4),IF(J13&lt;=QUARTILE(J$2:J$46,1),1,0),0)+IF(AND(ISNUMBER(K13),COUNT(K$2:K$46)&gt;=4),IF(K13&lt;=QUARTILE(K$2:K$46,1),1,0),0)+IF(AND(ISNUMBER(L13),COUNT(L$2:L$46)&gt;=4),IF(L13&lt;=QUARTILE(L$2:L$46,1),1,0),0)+IF(AND(ISNUMBER(M13),COUNT(M$2:M$46)&gt;=4),IF(M13&lt;=QUARTILE(M$2:M$46,1),1,0),0)+IF(AND(ISNUMBER(N13),COUNT(N$2:N$46)&gt;=4),IF(N13&lt;=QUARTILE(N$2:N$46,1),1,0),0)+IF(AND(ISNUMBER(O13),COUNT(O$2:O$46)&gt;=4),IF(O13&lt;=QUARTILE(O$2:O$46,1),1,0),0)+IF(AND(ISNUMBER(P13),COUNT(P$2:P$46)&gt;=4),IF(P13&lt;=QUARTILE(P$2:P$46,1),1,0),0)+IF(AND(ISNUMBER(Q13),COUNT(Q$2:Q$46)&gt;=4),IF(Q13&lt;=QUARTILE(Q$2:Q$46,1),1,0),0)+IF(AND(ISNUMBER(R13),COUNT(R$2:R$46)&gt;=4),IF(R13&lt;=QUARTILE(R$2:R$46,1),1,0),0)+IF(AND(ISNUMBER(S13),COUNT(S$2:S$46)&gt;=4),IF(S13&lt;=QUARTILE(S$2:S$46,1),1,0),0)+IF(AND(ISNUMBER(T13),COUNT(T$2:T$46)&gt;=4),IF(T13&lt;=QUARTILE(T$2:T$46,1),1,0),0)+IF(AND(ISNUMBER(U13),COUNT(U$2:U$46)&gt;=4),IF(U13&lt;=QUARTILE(U$2:U$46,1),1,0),0)</f>
        <v/>
      </c>
      <c r="X13" s="3">
        <f>IF(W13=0,V13,ROUND(V13/W13,2))</f>
        <v/>
      </c>
      <c r="Y13" s="3">
        <f>IFERROR(IF(VLOOKUP(A13,'Raw Data 5Y'!A:AL,38,FALSE)="","none",VLOOKUP(A13,'Raw Data 5Y'!A:AL,38,FALSE)),"none")</f>
        <v/>
      </c>
      <c r="Z13" s="4" t="inlineStr">
        <is>
          <t>Source</t>
        </is>
      </c>
    </row>
    <row r="14">
      <c r="A14">
        <f>'Raw Data 5Y'!A17</f>
        <v/>
      </c>
      <c r="B14" s="3">
        <f>IFERROR((('Raw Data 5Y'!C17/'Raw Data 5Y'!B17)^(1/'Raw Data 5Y'!D17)-1)*100,"")</f>
        <v/>
      </c>
      <c r="C14" s="3">
        <f>'Raw Data 5Y'!E17</f>
        <v/>
      </c>
      <c r="D14" s="3">
        <f>INT('Raw Data 5Y'!D17)</f>
        <v/>
      </c>
      <c r="E14" s="3">
        <f>IFERROR(AVERAGE(F14:U14),"")</f>
        <v/>
      </c>
      <c r="F14" s="3">
        <f>IFERROR((('Raw Data 5Y'!G17/'Raw Data 5Y'!F17)^(1/5)-1)*100,"")</f>
        <v/>
      </c>
      <c r="G14" s="3">
        <f>IFERROR((('Raw Data 5Y'!I17/'Raw Data 5Y'!H17)^(1/5)-1)*100,"")</f>
        <v/>
      </c>
      <c r="H14" s="3">
        <f>IFERROR((('Raw Data 5Y'!K17/'Raw Data 5Y'!J17)^(1/5)-1)*100,"")</f>
        <v/>
      </c>
      <c r="I14" s="3">
        <f>IFERROR((('Raw Data 5Y'!M17/'Raw Data 5Y'!L17)^(1/5)-1)*100,"")</f>
        <v/>
      </c>
      <c r="J14" s="3">
        <f>IFERROR((('Raw Data 5Y'!O17/'Raw Data 5Y'!N17)^(1/5)-1)*100,"")</f>
        <v/>
      </c>
      <c r="K14" s="3">
        <f>IFERROR((('Raw Data 5Y'!Q17/'Raw Data 5Y'!P17)^(1/5)-1)*100,"")</f>
        <v/>
      </c>
      <c r="L14" s="3">
        <f>IFERROR((('Raw Data 5Y'!S17/'Raw Data 5Y'!R17)^(1/5)-1)*100,"")</f>
        <v/>
      </c>
      <c r="M14" s="3">
        <f>IFERROR((('Raw Data 5Y'!U17/'Raw Data 5Y'!T17)^(1/5)-1)*100,"")</f>
        <v/>
      </c>
      <c r="N14" s="3">
        <f>IFERROR((('Raw Data 5Y'!W17/'Raw Data 5Y'!V17)^(1/5)-1)*100,"")</f>
        <v/>
      </c>
      <c r="O14" s="3">
        <f>IFERROR((('Raw Data 5Y'!Y17/'Raw Data 5Y'!X17)^(1/5)-1)*100,"")</f>
        <v/>
      </c>
      <c r="P14" s="3">
        <f>IFERROR((('Raw Data 5Y'!AA17/'Raw Data 5Y'!Z17)^(1/5)-1)*100,"")</f>
        <v/>
      </c>
      <c r="Q14" s="3">
        <f>IFERROR((('Raw Data 5Y'!AC17/'Raw Data 5Y'!AB17)^(1/5)-1)*100,"")</f>
        <v/>
      </c>
      <c r="R14" s="3">
        <f>IFERROR((('Raw Data 5Y'!AE17/'Raw Data 5Y'!AD17)^(1/5)-1)*100,"")</f>
        <v/>
      </c>
      <c r="S14" s="3">
        <f>IFERROR((('Raw Data 5Y'!AG17/'Raw Data 5Y'!AF17)^(1/5)-1)*100,"")</f>
        <v/>
      </c>
      <c r="T14" s="3">
        <f>IFERROR((('Raw Data 5Y'!AI17/'Raw Data 5Y'!AH17)^(1/5)-1)*100,"")</f>
        <v/>
      </c>
      <c r="U14" s="3">
        <f>IFERROR((('Raw Data 5Y'!AK17/'Raw Data 5Y'!AJ17)^(1/5)-1)*100,"")</f>
        <v/>
      </c>
      <c r="V14" s="3">
        <f>IF(AND(ISNUMBER(F14),COUNT(F$2:F$46)&gt;=4),IF(F14&gt;=QUARTILE(F$2:F$46,3),1,0),0)+IF(AND(ISNUMBER(G14),COUNT(G$2:G$46)&gt;=4),IF(G14&gt;=QUARTILE(G$2:G$46,3),1,0),0)+IF(AND(ISNUMBER(H14),COUNT(H$2:H$46)&gt;=4),IF(H14&gt;=QUARTILE(H$2:H$46,3),1,0),0)+IF(AND(ISNUMBER(I14),COUNT(I$2:I$46)&gt;=4),IF(I14&gt;=QUARTILE(I$2:I$46,3),1,0),0)+IF(AND(ISNUMBER(J14),COUNT(J$2:J$46)&gt;=4),IF(J14&gt;=QUARTILE(J$2:J$46,3),1,0),0)+IF(AND(ISNUMBER(K14),COUNT(K$2:K$46)&gt;=4),IF(K14&gt;=QUARTILE(K$2:K$46,3),1,0),0)+IF(AND(ISNUMBER(L14),COUNT(L$2:L$46)&gt;=4),IF(L14&gt;=QUARTILE(L$2:L$46,3),1,0),0)+IF(AND(ISNUMBER(M14),COUNT(M$2:M$46)&gt;=4),IF(M14&gt;=QUARTILE(M$2:M$46,3),1,0),0)+IF(AND(ISNUMBER(N14),COUNT(N$2:N$46)&gt;=4),IF(N14&gt;=QUARTILE(N$2:N$46,3),1,0),0)+IF(AND(ISNUMBER(O14),COUNT(O$2:O$46)&gt;=4),IF(O14&gt;=QUARTILE(O$2:O$46,3),1,0),0)+IF(AND(ISNUMBER(P14),COUNT(P$2:P$46)&gt;=4),IF(P14&gt;=QUARTILE(P$2:P$46,3),1,0),0)+IF(AND(ISNUMBER(Q14),COUNT(Q$2:Q$46)&gt;=4),IF(Q14&gt;=QUARTILE(Q$2:Q$46,3),1,0),0)+IF(AND(ISNUMBER(R14),COUNT(R$2:R$46)&gt;=4),IF(R14&gt;=QUARTILE(R$2:R$46,3),1,0),0)+IF(AND(ISNUMBER(S14),COUNT(S$2:S$46)&gt;=4),IF(S14&gt;=QUARTILE(S$2:S$46,3),1,0),0)+IF(AND(ISNUMBER(T14),COUNT(T$2:T$46)&gt;=4),IF(T14&gt;=QUARTILE(T$2:T$46,3),1,0),0)+IF(AND(ISNUMBER(U14),COUNT(U$2:U$46)&gt;=4),IF(U14&gt;=QUARTILE(U$2:U$46,3),1,0),0)</f>
        <v/>
      </c>
      <c r="W14" s="3">
        <f>IF(AND(ISNUMBER(F14),COUNT(F$2:F$46)&gt;=4),IF(F14&lt;=QUARTILE(F$2:F$46,1),1,0),0)+IF(AND(ISNUMBER(G14),COUNT(G$2:G$46)&gt;=4),IF(G14&lt;=QUARTILE(G$2:G$46,1),1,0),0)+IF(AND(ISNUMBER(H14),COUNT(H$2:H$46)&gt;=4),IF(H14&lt;=QUARTILE(H$2:H$46,1),1,0),0)+IF(AND(ISNUMBER(I14),COUNT(I$2:I$46)&gt;=4),IF(I14&lt;=QUARTILE(I$2:I$46,1),1,0),0)+IF(AND(ISNUMBER(J14),COUNT(J$2:J$46)&gt;=4),IF(J14&lt;=QUARTILE(J$2:J$46,1),1,0),0)+IF(AND(ISNUMBER(K14),COUNT(K$2:K$46)&gt;=4),IF(K14&lt;=QUARTILE(K$2:K$46,1),1,0),0)+IF(AND(ISNUMBER(L14),COUNT(L$2:L$46)&gt;=4),IF(L14&lt;=QUARTILE(L$2:L$46,1),1,0),0)+IF(AND(ISNUMBER(M14),COUNT(M$2:M$46)&gt;=4),IF(M14&lt;=QUARTILE(M$2:M$46,1),1,0),0)+IF(AND(ISNUMBER(N14),COUNT(N$2:N$46)&gt;=4),IF(N14&lt;=QUARTILE(N$2:N$46,1),1,0),0)+IF(AND(ISNUMBER(O14),COUNT(O$2:O$46)&gt;=4),IF(O14&lt;=QUARTILE(O$2:O$46,1),1,0),0)+IF(AND(ISNUMBER(P14),COUNT(P$2:P$46)&gt;=4),IF(P14&lt;=QUARTILE(P$2:P$46,1),1,0),0)+IF(AND(ISNUMBER(Q14),COUNT(Q$2:Q$46)&gt;=4),IF(Q14&lt;=QUARTILE(Q$2:Q$46,1),1,0),0)+IF(AND(ISNUMBER(R14),COUNT(R$2:R$46)&gt;=4),IF(R14&lt;=QUARTILE(R$2:R$46,1),1,0),0)+IF(AND(ISNUMBER(S14),COUNT(S$2:S$46)&gt;=4),IF(S14&lt;=QUARTILE(S$2:S$46,1),1,0),0)+IF(AND(ISNUMBER(T14),COUNT(T$2:T$46)&gt;=4),IF(T14&lt;=QUARTILE(T$2:T$46,1),1,0),0)+IF(AND(ISNUMBER(U14),COUNT(U$2:U$46)&gt;=4),IF(U14&lt;=QUARTILE(U$2:U$46,1),1,0),0)</f>
        <v/>
      </c>
      <c r="X14" s="3">
        <f>IF(W14=0,V14,ROUND(V14/W14,2))</f>
        <v/>
      </c>
      <c r="Y14" s="3">
        <f>IFERROR(IF(VLOOKUP(A14,'Raw Data 5Y'!A:AL,38,FALSE)="","none",VLOOKUP(A14,'Raw Data 5Y'!A:AL,38,FALSE)),"none")</f>
        <v/>
      </c>
      <c r="Z14" s="4" t="inlineStr">
        <is>
          <t>Source</t>
        </is>
      </c>
    </row>
    <row r="15">
      <c r="A15">
        <f>'Raw Data 5Y'!A45</f>
        <v/>
      </c>
      <c r="B15" s="3">
        <f>IFERROR((('Raw Data 5Y'!C45/'Raw Data 5Y'!B45)^(1/'Raw Data 5Y'!D45)-1)*100,"")</f>
        <v/>
      </c>
      <c r="C15" s="3">
        <f>'Raw Data 5Y'!E45</f>
        <v/>
      </c>
      <c r="D15" s="3">
        <f>INT('Raw Data 5Y'!D45)</f>
        <v/>
      </c>
      <c r="E15" s="3">
        <f>IFERROR(AVERAGE(F15:U15),"")</f>
        <v/>
      </c>
      <c r="F15" s="3">
        <f>IFERROR((('Raw Data 5Y'!G45/'Raw Data 5Y'!F45)^(1/5)-1)*100,"")</f>
        <v/>
      </c>
      <c r="G15" s="3">
        <f>IFERROR((('Raw Data 5Y'!I45/'Raw Data 5Y'!H45)^(1/5)-1)*100,"")</f>
        <v/>
      </c>
      <c r="H15" s="3">
        <f>IFERROR((('Raw Data 5Y'!K45/'Raw Data 5Y'!J45)^(1/5)-1)*100,"")</f>
        <v/>
      </c>
      <c r="I15" s="3">
        <f>IFERROR((('Raw Data 5Y'!M45/'Raw Data 5Y'!L45)^(1/5)-1)*100,"")</f>
        <v/>
      </c>
      <c r="J15" s="3">
        <f>IFERROR((('Raw Data 5Y'!O45/'Raw Data 5Y'!N45)^(1/5)-1)*100,"")</f>
        <v/>
      </c>
      <c r="K15" s="3">
        <f>IFERROR((('Raw Data 5Y'!Q45/'Raw Data 5Y'!P45)^(1/5)-1)*100,"")</f>
        <v/>
      </c>
      <c r="L15" s="3">
        <f>IFERROR((('Raw Data 5Y'!S45/'Raw Data 5Y'!R45)^(1/5)-1)*100,"")</f>
        <v/>
      </c>
      <c r="M15" s="3">
        <f>IFERROR((('Raw Data 5Y'!U45/'Raw Data 5Y'!T45)^(1/5)-1)*100,"")</f>
        <v/>
      </c>
      <c r="N15" s="3">
        <f>IFERROR((('Raw Data 5Y'!W45/'Raw Data 5Y'!V45)^(1/5)-1)*100,"")</f>
        <v/>
      </c>
      <c r="O15" s="3">
        <f>IFERROR((('Raw Data 5Y'!Y45/'Raw Data 5Y'!X45)^(1/5)-1)*100,"")</f>
        <v/>
      </c>
      <c r="P15" s="3">
        <f>IFERROR((('Raw Data 5Y'!AA45/'Raw Data 5Y'!Z45)^(1/5)-1)*100,"")</f>
        <v/>
      </c>
      <c r="Q15" s="3">
        <f>IFERROR((('Raw Data 5Y'!AC45/'Raw Data 5Y'!AB45)^(1/5)-1)*100,"")</f>
        <v/>
      </c>
      <c r="R15" s="3">
        <f>IFERROR((('Raw Data 5Y'!AE45/'Raw Data 5Y'!AD45)^(1/5)-1)*100,"")</f>
        <v/>
      </c>
      <c r="S15" s="3">
        <f>IFERROR((('Raw Data 5Y'!AG45/'Raw Data 5Y'!AF45)^(1/5)-1)*100,"")</f>
        <v/>
      </c>
      <c r="T15" s="3">
        <f>IFERROR((('Raw Data 5Y'!AI45/'Raw Data 5Y'!AH45)^(1/5)-1)*100,"")</f>
        <v/>
      </c>
      <c r="U15" s="3">
        <f>IFERROR((('Raw Data 5Y'!AK45/'Raw Data 5Y'!AJ45)^(1/5)-1)*100,"")</f>
        <v/>
      </c>
      <c r="V15" s="3">
        <f>IF(AND(ISNUMBER(F15),COUNT(F$2:F$46)&gt;=4),IF(F15&gt;=QUARTILE(F$2:F$46,3),1,0),0)+IF(AND(ISNUMBER(G15),COUNT(G$2:G$46)&gt;=4),IF(G15&gt;=QUARTILE(G$2:G$46,3),1,0),0)+IF(AND(ISNUMBER(H15),COUNT(H$2:H$46)&gt;=4),IF(H15&gt;=QUARTILE(H$2:H$46,3),1,0),0)+IF(AND(ISNUMBER(I15),COUNT(I$2:I$46)&gt;=4),IF(I15&gt;=QUARTILE(I$2:I$46,3),1,0),0)+IF(AND(ISNUMBER(J15),COUNT(J$2:J$46)&gt;=4),IF(J15&gt;=QUARTILE(J$2:J$46,3),1,0),0)+IF(AND(ISNUMBER(K15),COUNT(K$2:K$46)&gt;=4),IF(K15&gt;=QUARTILE(K$2:K$46,3),1,0),0)+IF(AND(ISNUMBER(L15),COUNT(L$2:L$46)&gt;=4),IF(L15&gt;=QUARTILE(L$2:L$46,3),1,0),0)+IF(AND(ISNUMBER(M15),COUNT(M$2:M$46)&gt;=4),IF(M15&gt;=QUARTILE(M$2:M$46,3),1,0),0)+IF(AND(ISNUMBER(N15),COUNT(N$2:N$46)&gt;=4),IF(N15&gt;=QUARTILE(N$2:N$46,3),1,0),0)+IF(AND(ISNUMBER(O15),COUNT(O$2:O$46)&gt;=4),IF(O15&gt;=QUARTILE(O$2:O$46,3),1,0),0)+IF(AND(ISNUMBER(P15),COUNT(P$2:P$46)&gt;=4),IF(P15&gt;=QUARTILE(P$2:P$46,3),1,0),0)+IF(AND(ISNUMBER(Q15),COUNT(Q$2:Q$46)&gt;=4),IF(Q15&gt;=QUARTILE(Q$2:Q$46,3),1,0),0)+IF(AND(ISNUMBER(R15),COUNT(R$2:R$46)&gt;=4),IF(R15&gt;=QUARTILE(R$2:R$46,3),1,0),0)+IF(AND(ISNUMBER(S15),COUNT(S$2:S$46)&gt;=4),IF(S15&gt;=QUARTILE(S$2:S$46,3),1,0),0)+IF(AND(ISNUMBER(T15),COUNT(T$2:T$46)&gt;=4),IF(T15&gt;=QUARTILE(T$2:T$46,3),1,0),0)+IF(AND(ISNUMBER(U15),COUNT(U$2:U$46)&gt;=4),IF(U15&gt;=QUARTILE(U$2:U$46,3),1,0),0)</f>
        <v/>
      </c>
      <c r="W15" s="3">
        <f>IF(AND(ISNUMBER(F15),COUNT(F$2:F$46)&gt;=4),IF(F15&lt;=QUARTILE(F$2:F$46,1),1,0),0)+IF(AND(ISNUMBER(G15),COUNT(G$2:G$46)&gt;=4),IF(G15&lt;=QUARTILE(G$2:G$46,1),1,0),0)+IF(AND(ISNUMBER(H15),COUNT(H$2:H$46)&gt;=4),IF(H15&lt;=QUARTILE(H$2:H$46,1),1,0),0)+IF(AND(ISNUMBER(I15),COUNT(I$2:I$46)&gt;=4),IF(I15&lt;=QUARTILE(I$2:I$46,1),1,0),0)+IF(AND(ISNUMBER(J15),COUNT(J$2:J$46)&gt;=4),IF(J15&lt;=QUARTILE(J$2:J$46,1),1,0),0)+IF(AND(ISNUMBER(K15),COUNT(K$2:K$46)&gt;=4),IF(K15&lt;=QUARTILE(K$2:K$46,1),1,0),0)+IF(AND(ISNUMBER(L15),COUNT(L$2:L$46)&gt;=4),IF(L15&lt;=QUARTILE(L$2:L$46,1),1,0),0)+IF(AND(ISNUMBER(M15),COUNT(M$2:M$46)&gt;=4),IF(M15&lt;=QUARTILE(M$2:M$46,1),1,0),0)+IF(AND(ISNUMBER(N15),COUNT(N$2:N$46)&gt;=4),IF(N15&lt;=QUARTILE(N$2:N$46,1),1,0),0)+IF(AND(ISNUMBER(O15),COUNT(O$2:O$46)&gt;=4),IF(O15&lt;=QUARTILE(O$2:O$46,1),1,0),0)+IF(AND(ISNUMBER(P15),COUNT(P$2:P$46)&gt;=4),IF(P15&lt;=QUARTILE(P$2:P$46,1),1,0),0)+IF(AND(ISNUMBER(Q15),COUNT(Q$2:Q$46)&gt;=4),IF(Q15&lt;=QUARTILE(Q$2:Q$46,1),1,0),0)+IF(AND(ISNUMBER(R15),COUNT(R$2:R$46)&gt;=4),IF(R15&lt;=QUARTILE(R$2:R$46,1),1,0),0)+IF(AND(ISNUMBER(S15),COUNT(S$2:S$46)&gt;=4),IF(S15&lt;=QUARTILE(S$2:S$46,1),1,0),0)+IF(AND(ISNUMBER(T15),COUNT(T$2:T$46)&gt;=4),IF(T15&lt;=QUARTILE(T$2:T$46,1),1,0),0)+IF(AND(ISNUMBER(U15),COUNT(U$2:U$46)&gt;=4),IF(U15&lt;=QUARTILE(U$2:U$46,1),1,0),0)</f>
        <v/>
      </c>
      <c r="X15" s="3">
        <f>IF(W15=0,V15,ROUND(V15/W15,2))</f>
        <v/>
      </c>
      <c r="Y15" s="3">
        <f>IFERROR(IF(VLOOKUP(A15,'Raw Data 5Y'!A:AL,38,FALSE)="","none",VLOOKUP(A15,'Raw Data 5Y'!A:AL,38,FALSE)),"none")</f>
        <v/>
      </c>
      <c r="Z15" s="4" t="inlineStr">
        <is>
          <t>Source</t>
        </is>
      </c>
    </row>
    <row r="16">
      <c r="A16">
        <f>'Raw Data 5Y'!A11</f>
        <v/>
      </c>
      <c r="B16" s="3">
        <f>IFERROR((('Raw Data 5Y'!C11/'Raw Data 5Y'!B11)^(1/'Raw Data 5Y'!D11)-1)*100,"")</f>
        <v/>
      </c>
      <c r="C16" s="3">
        <f>'Raw Data 5Y'!E11</f>
        <v/>
      </c>
      <c r="D16" s="3">
        <f>INT('Raw Data 5Y'!D11)</f>
        <v/>
      </c>
      <c r="E16" s="3">
        <f>IFERROR(AVERAGE(F16:U16),"")</f>
        <v/>
      </c>
      <c r="F16" s="3">
        <f>IFERROR((('Raw Data 5Y'!G11/'Raw Data 5Y'!F11)^(1/5)-1)*100,"")</f>
        <v/>
      </c>
      <c r="G16" s="3">
        <f>IFERROR((('Raw Data 5Y'!I11/'Raw Data 5Y'!H11)^(1/5)-1)*100,"")</f>
        <v/>
      </c>
      <c r="H16" s="3">
        <f>IFERROR((('Raw Data 5Y'!K11/'Raw Data 5Y'!J11)^(1/5)-1)*100,"")</f>
        <v/>
      </c>
      <c r="I16" s="3">
        <f>IFERROR((('Raw Data 5Y'!M11/'Raw Data 5Y'!L11)^(1/5)-1)*100,"")</f>
        <v/>
      </c>
      <c r="J16" s="3">
        <f>IFERROR((('Raw Data 5Y'!O11/'Raw Data 5Y'!N11)^(1/5)-1)*100,"")</f>
        <v/>
      </c>
      <c r="K16" s="3">
        <f>IFERROR((('Raw Data 5Y'!Q11/'Raw Data 5Y'!P11)^(1/5)-1)*100,"")</f>
        <v/>
      </c>
      <c r="L16" s="3">
        <f>IFERROR((('Raw Data 5Y'!S11/'Raw Data 5Y'!R11)^(1/5)-1)*100,"")</f>
        <v/>
      </c>
      <c r="M16" s="3">
        <f>IFERROR((('Raw Data 5Y'!U11/'Raw Data 5Y'!T11)^(1/5)-1)*100,"")</f>
        <v/>
      </c>
      <c r="N16" s="3">
        <f>IFERROR((('Raw Data 5Y'!W11/'Raw Data 5Y'!V11)^(1/5)-1)*100,"")</f>
        <v/>
      </c>
      <c r="O16" s="3">
        <f>IFERROR((('Raw Data 5Y'!Y11/'Raw Data 5Y'!X11)^(1/5)-1)*100,"")</f>
        <v/>
      </c>
      <c r="P16" s="3">
        <f>IFERROR((('Raw Data 5Y'!AA11/'Raw Data 5Y'!Z11)^(1/5)-1)*100,"")</f>
        <v/>
      </c>
      <c r="Q16" s="3">
        <f>IFERROR((('Raw Data 5Y'!AC11/'Raw Data 5Y'!AB11)^(1/5)-1)*100,"")</f>
        <v/>
      </c>
      <c r="R16" s="3">
        <f>IFERROR((('Raw Data 5Y'!AE11/'Raw Data 5Y'!AD11)^(1/5)-1)*100,"")</f>
        <v/>
      </c>
      <c r="S16" s="3">
        <f>IFERROR((('Raw Data 5Y'!AG11/'Raw Data 5Y'!AF11)^(1/5)-1)*100,"")</f>
        <v/>
      </c>
      <c r="T16" s="3">
        <f>IFERROR((('Raw Data 5Y'!AI11/'Raw Data 5Y'!AH11)^(1/5)-1)*100,"")</f>
        <v/>
      </c>
      <c r="U16" s="3">
        <f>IFERROR((('Raw Data 5Y'!AK11/'Raw Data 5Y'!AJ11)^(1/5)-1)*100,"")</f>
        <v/>
      </c>
      <c r="V16" s="3">
        <f>IF(AND(ISNUMBER(F16),COUNT(F$2:F$46)&gt;=4),IF(F16&gt;=QUARTILE(F$2:F$46,3),1,0),0)+IF(AND(ISNUMBER(G16),COUNT(G$2:G$46)&gt;=4),IF(G16&gt;=QUARTILE(G$2:G$46,3),1,0),0)+IF(AND(ISNUMBER(H16),COUNT(H$2:H$46)&gt;=4),IF(H16&gt;=QUARTILE(H$2:H$46,3),1,0),0)+IF(AND(ISNUMBER(I16),COUNT(I$2:I$46)&gt;=4),IF(I16&gt;=QUARTILE(I$2:I$46,3),1,0),0)+IF(AND(ISNUMBER(J16),COUNT(J$2:J$46)&gt;=4),IF(J16&gt;=QUARTILE(J$2:J$46,3),1,0),0)+IF(AND(ISNUMBER(K16),COUNT(K$2:K$46)&gt;=4),IF(K16&gt;=QUARTILE(K$2:K$46,3),1,0),0)+IF(AND(ISNUMBER(L16),COUNT(L$2:L$46)&gt;=4),IF(L16&gt;=QUARTILE(L$2:L$46,3),1,0),0)+IF(AND(ISNUMBER(M16),COUNT(M$2:M$46)&gt;=4),IF(M16&gt;=QUARTILE(M$2:M$46,3),1,0),0)+IF(AND(ISNUMBER(N16),COUNT(N$2:N$46)&gt;=4),IF(N16&gt;=QUARTILE(N$2:N$46,3),1,0),0)+IF(AND(ISNUMBER(O16),COUNT(O$2:O$46)&gt;=4),IF(O16&gt;=QUARTILE(O$2:O$46,3),1,0),0)+IF(AND(ISNUMBER(P16),COUNT(P$2:P$46)&gt;=4),IF(P16&gt;=QUARTILE(P$2:P$46,3),1,0),0)+IF(AND(ISNUMBER(Q16),COUNT(Q$2:Q$46)&gt;=4),IF(Q16&gt;=QUARTILE(Q$2:Q$46,3),1,0),0)+IF(AND(ISNUMBER(R16),COUNT(R$2:R$46)&gt;=4),IF(R16&gt;=QUARTILE(R$2:R$46,3),1,0),0)+IF(AND(ISNUMBER(S16),COUNT(S$2:S$46)&gt;=4),IF(S16&gt;=QUARTILE(S$2:S$46,3),1,0),0)+IF(AND(ISNUMBER(T16),COUNT(T$2:T$46)&gt;=4),IF(T16&gt;=QUARTILE(T$2:T$46,3),1,0),0)+IF(AND(ISNUMBER(U16),COUNT(U$2:U$46)&gt;=4),IF(U16&gt;=QUARTILE(U$2:U$46,3),1,0),0)</f>
        <v/>
      </c>
      <c r="W16" s="3">
        <f>IF(AND(ISNUMBER(F16),COUNT(F$2:F$46)&gt;=4),IF(F16&lt;=QUARTILE(F$2:F$46,1),1,0),0)+IF(AND(ISNUMBER(G16),COUNT(G$2:G$46)&gt;=4),IF(G16&lt;=QUARTILE(G$2:G$46,1),1,0),0)+IF(AND(ISNUMBER(H16),COUNT(H$2:H$46)&gt;=4),IF(H16&lt;=QUARTILE(H$2:H$46,1),1,0),0)+IF(AND(ISNUMBER(I16),COUNT(I$2:I$46)&gt;=4),IF(I16&lt;=QUARTILE(I$2:I$46,1),1,0),0)+IF(AND(ISNUMBER(J16),COUNT(J$2:J$46)&gt;=4),IF(J16&lt;=QUARTILE(J$2:J$46,1),1,0),0)+IF(AND(ISNUMBER(K16),COUNT(K$2:K$46)&gt;=4),IF(K16&lt;=QUARTILE(K$2:K$46,1),1,0),0)+IF(AND(ISNUMBER(L16),COUNT(L$2:L$46)&gt;=4),IF(L16&lt;=QUARTILE(L$2:L$46,1),1,0),0)+IF(AND(ISNUMBER(M16),COUNT(M$2:M$46)&gt;=4),IF(M16&lt;=QUARTILE(M$2:M$46,1),1,0),0)+IF(AND(ISNUMBER(N16),COUNT(N$2:N$46)&gt;=4),IF(N16&lt;=QUARTILE(N$2:N$46,1),1,0),0)+IF(AND(ISNUMBER(O16),COUNT(O$2:O$46)&gt;=4),IF(O16&lt;=QUARTILE(O$2:O$46,1),1,0),0)+IF(AND(ISNUMBER(P16),COUNT(P$2:P$46)&gt;=4),IF(P16&lt;=QUARTILE(P$2:P$46,1),1,0),0)+IF(AND(ISNUMBER(Q16),COUNT(Q$2:Q$46)&gt;=4),IF(Q16&lt;=QUARTILE(Q$2:Q$46,1),1,0),0)+IF(AND(ISNUMBER(R16),COUNT(R$2:R$46)&gt;=4),IF(R16&lt;=QUARTILE(R$2:R$46,1),1,0),0)+IF(AND(ISNUMBER(S16),COUNT(S$2:S$46)&gt;=4),IF(S16&lt;=QUARTILE(S$2:S$46,1),1,0),0)+IF(AND(ISNUMBER(T16),COUNT(T$2:T$46)&gt;=4),IF(T16&lt;=QUARTILE(T$2:T$46,1),1,0),0)+IF(AND(ISNUMBER(U16),COUNT(U$2:U$46)&gt;=4),IF(U16&lt;=QUARTILE(U$2:U$46,1),1,0),0)</f>
        <v/>
      </c>
      <c r="X16" s="3">
        <f>IF(W16=0,V16,ROUND(V16/W16,2))</f>
        <v/>
      </c>
      <c r="Y16" s="3">
        <f>IFERROR(IF(VLOOKUP(A16,'Raw Data 5Y'!A:AL,38,FALSE)="","none",VLOOKUP(A16,'Raw Data 5Y'!A:AL,38,FALSE)),"none")</f>
        <v/>
      </c>
      <c r="Z16" s="4" t="inlineStr">
        <is>
          <t>Source</t>
        </is>
      </c>
    </row>
    <row r="17">
      <c r="A17">
        <f>'Raw Data 5Y'!A29</f>
        <v/>
      </c>
      <c r="B17" s="3">
        <f>IFERROR((('Raw Data 5Y'!C29/'Raw Data 5Y'!B29)^(1/'Raw Data 5Y'!D29)-1)*100,"")</f>
        <v/>
      </c>
      <c r="C17" s="3">
        <f>'Raw Data 5Y'!E29</f>
        <v/>
      </c>
      <c r="D17" s="3">
        <f>INT('Raw Data 5Y'!D29)</f>
        <v/>
      </c>
      <c r="E17" s="3">
        <f>IFERROR(AVERAGE(F17:U17),"")</f>
        <v/>
      </c>
      <c r="F17" s="3">
        <f>IFERROR((('Raw Data 5Y'!G29/'Raw Data 5Y'!F29)^(1/5)-1)*100,"")</f>
        <v/>
      </c>
      <c r="G17" s="3">
        <f>IFERROR((('Raw Data 5Y'!I29/'Raw Data 5Y'!H29)^(1/5)-1)*100,"")</f>
        <v/>
      </c>
      <c r="H17" s="3">
        <f>IFERROR((('Raw Data 5Y'!K29/'Raw Data 5Y'!J29)^(1/5)-1)*100,"")</f>
        <v/>
      </c>
      <c r="I17" s="3">
        <f>IFERROR((('Raw Data 5Y'!M29/'Raw Data 5Y'!L29)^(1/5)-1)*100,"")</f>
        <v/>
      </c>
      <c r="J17" s="3">
        <f>IFERROR((('Raw Data 5Y'!O29/'Raw Data 5Y'!N29)^(1/5)-1)*100,"")</f>
        <v/>
      </c>
      <c r="K17" s="3">
        <f>IFERROR((('Raw Data 5Y'!Q29/'Raw Data 5Y'!P29)^(1/5)-1)*100,"")</f>
        <v/>
      </c>
      <c r="L17" s="3">
        <f>IFERROR((('Raw Data 5Y'!S29/'Raw Data 5Y'!R29)^(1/5)-1)*100,"")</f>
        <v/>
      </c>
      <c r="M17" s="3">
        <f>IFERROR((('Raw Data 5Y'!U29/'Raw Data 5Y'!T29)^(1/5)-1)*100,"")</f>
        <v/>
      </c>
      <c r="N17" s="3">
        <f>IFERROR((('Raw Data 5Y'!W29/'Raw Data 5Y'!V29)^(1/5)-1)*100,"")</f>
        <v/>
      </c>
      <c r="O17" s="3">
        <f>IFERROR((('Raw Data 5Y'!Y29/'Raw Data 5Y'!X29)^(1/5)-1)*100,"")</f>
        <v/>
      </c>
      <c r="P17" s="3">
        <f>IFERROR((('Raw Data 5Y'!AA29/'Raw Data 5Y'!Z29)^(1/5)-1)*100,"")</f>
        <v/>
      </c>
      <c r="Q17" s="3">
        <f>IFERROR((('Raw Data 5Y'!AC29/'Raw Data 5Y'!AB29)^(1/5)-1)*100,"")</f>
        <v/>
      </c>
      <c r="R17" s="3">
        <f>IFERROR((('Raw Data 5Y'!AE29/'Raw Data 5Y'!AD29)^(1/5)-1)*100,"")</f>
        <v/>
      </c>
      <c r="S17" s="3">
        <f>IFERROR((('Raw Data 5Y'!AG29/'Raw Data 5Y'!AF29)^(1/5)-1)*100,"")</f>
        <v/>
      </c>
      <c r="T17" s="3">
        <f>IFERROR((('Raw Data 5Y'!AI29/'Raw Data 5Y'!AH29)^(1/5)-1)*100,"")</f>
        <v/>
      </c>
      <c r="U17" s="3">
        <f>IFERROR((('Raw Data 5Y'!AK29/'Raw Data 5Y'!AJ29)^(1/5)-1)*100,"")</f>
        <v/>
      </c>
      <c r="V17" s="3">
        <f>IF(AND(ISNUMBER(F17),COUNT(F$2:F$46)&gt;=4),IF(F17&gt;=QUARTILE(F$2:F$46,3),1,0),0)+IF(AND(ISNUMBER(G17),COUNT(G$2:G$46)&gt;=4),IF(G17&gt;=QUARTILE(G$2:G$46,3),1,0),0)+IF(AND(ISNUMBER(H17),COUNT(H$2:H$46)&gt;=4),IF(H17&gt;=QUARTILE(H$2:H$46,3),1,0),0)+IF(AND(ISNUMBER(I17),COUNT(I$2:I$46)&gt;=4),IF(I17&gt;=QUARTILE(I$2:I$46,3),1,0),0)+IF(AND(ISNUMBER(J17),COUNT(J$2:J$46)&gt;=4),IF(J17&gt;=QUARTILE(J$2:J$46,3),1,0),0)+IF(AND(ISNUMBER(K17),COUNT(K$2:K$46)&gt;=4),IF(K17&gt;=QUARTILE(K$2:K$46,3),1,0),0)+IF(AND(ISNUMBER(L17),COUNT(L$2:L$46)&gt;=4),IF(L17&gt;=QUARTILE(L$2:L$46,3),1,0),0)+IF(AND(ISNUMBER(M17),COUNT(M$2:M$46)&gt;=4),IF(M17&gt;=QUARTILE(M$2:M$46,3),1,0),0)+IF(AND(ISNUMBER(N17),COUNT(N$2:N$46)&gt;=4),IF(N17&gt;=QUARTILE(N$2:N$46,3),1,0),0)+IF(AND(ISNUMBER(O17),COUNT(O$2:O$46)&gt;=4),IF(O17&gt;=QUARTILE(O$2:O$46,3),1,0),0)+IF(AND(ISNUMBER(P17),COUNT(P$2:P$46)&gt;=4),IF(P17&gt;=QUARTILE(P$2:P$46,3),1,0),0)+IF(AND(ISNUMBER(Q17),COUNT(Q$2:Q$46)&gt;=4),IF(Q17&gt;=QUARTILE(Q$2:Q$46,3),1,0),0)+IF(AND(ISNUMBER(R17),COUNT(R$2:R$46)&gt;=4),IF(R17&gt;=QUARTILE(R$2:R$46,3),1,0),0)+IF(AND(ISNUMBER(S17),COUNT(S$2:S$46)&gt;=4),IF(S17&gt;=QUARTILE(S$2:S$46,3),1,0),0)+IF(AND(ISNUMBER(T17),COUNT(T$2:T$46)&gt;=4),IF(T17&gt;=QUARTILE(T$2:T$46,3),1,0),0)+IF(AND(ISNUMBER(U17),COUNT(U$2:U$46)&gt;=4),IF(U17&gt;=QUARTILE(U$2:U$46,3),1,0),0)</f>
        <v/>
      </c>
      <c r="W17" s="3">
        <f>IF(AND(ISNUMBER(F17),COUNT(F$2:F$46)&gt;=4),IF(F17&lt;=QUARTILE(F$2:F$46,1),1,0),0)+IF(AND(ISNUMBER(G17),COUNT(G$2:G$46)&gt;=4),IF(G17&lt;=QUARTILE(G$2:G$46,1),1,0),0)+IF(AND(ISNUMBER(H17),COUNT(H$2:H$46)&gt;=4),IF(H17&lt;=QUARTILE(H$2:H$46,1),1,0),0)+IF(AND(ISNUMBER(I17),COUNT(I$2:I$46)&gt;=4),IF(I17&lt;=QUARTILE(I$2:I$46,1),1,0),0)+IF(AND(ISNUMBER(J17),COUNT(J$2:J$46)&gt;=4),IF(J17&lt;=QUARTILE(J$2:J$46,1),1,0),0)+IF(AND(ISNUMBER(K17),COUNT(K$2:K$46)&gt;=4),IF(K17&lt;=QUARTILE(K$2:K$46,1),1,0),0)+IF(AND(ISNUMBER(L17),COUNT(L$2:L$46)&gt;=4),IF(L17&lt;=QUARTILE(L$2:L$46,1),1,0),0)+IF(AND(ISNUMBER(M17),COUNT(M$2:M$46)&gt;=4),IF(M17&lt;=QUARTILE(M$2:M$46,1),1,0),0)+IF(AND(ISNUMBER(N17),COUNT(N$2:N$46)&gt;=4),IF(N17&lt;=QUARTILE(N$2:N$46,1),1,0),0)+IF(AND(ISNUMBER(O17),COUNT(O$2:O$46)&gt;=4),IF(O17&lt;=QUARTILE(O$2:O$46,1),1,0),0)+IF(AND(ISNUMBER(P17),COUNT(P$2:P$46)&gt;=4),IF(P17&lt;=QUARTILE(P$2:P$46,1),1,0),0)+IF(AND(ISNUMBER(Q17),COUNT(Q$2:Q$46)&gt;=4),IF(Q17&lt;=QUARTILE(Q$2:Q$46,1),1,0),0)+IF(AND(ISNUMBER(R17),COUNT(R$2:R$46)&gt;=4),IF(R17&lt;=QUARTILE(R$2:R$46,1),1,0),0)+IF(AND(ISNUMBER(S17),COUNT(S$2:S$46)&gt;=4),IF(S17&lt;=QUARTILE(S$2:S$46,1),1,0),0)+IF(AND(ISNUMBER(T17),COUNT(T$2:T$46)&gt;=4),IF(T17&lt;=QUARTILE(T$2:T$46,1),1,0),0)+IF(AND(ISNUMBER(U17),COUNT(U$2:U$46)&gt;=4),IF(U17&lt;=QUARTILE(U$2:U$46,1),1,0),0)</f>
        <v/>
      </c>
      <c r="X17" s="3">
        <f>IF(W17=0,V17,ROUND(V17/W17,2))</f>
        <v/>
      </c>
      <c r="Y17" s="3">
        <f>IFERROR(IF(VLOOKUP(A17,'Raw Data 5Y'!A:AL,38,FALSE)="","none",VLOOKUP(A17,'Raw Data 5Y'!A:AL,38,FALSE)),"none")</f>
        <v/>
      </c>
      <c r="Z17" s="4" t="inlineStr">
        <is>
          <t>Source</t>
        </is>
      </c>
    </row>
    <row r="18">
      <c r="A18">
        <f>'Raw Data 5Y'!A27</f>
        <v/>
      </c>
      <c r="B18" s="3">
        <f>IFERROR((('Raw Data 5Y'!C27/'Raw Data 5Y'!B27)^(1/'Raw Data 5Y'!D27)-1)*100,"")</f>
        <v/>
      </c>
      <c r="C18" s="3">
        <f>'Raw Data 5Y'!E27</f>
        <v/>
      </c>
      <c r="D18" s="3">
        <f>INT('Raw Data 5Y'!D27)</f>
        <v/>
      </c>
      <c r="E18" s="3">
        <f>IFERROR(AVERAGE(F18:U18),"")</f>
        <v/>
      </c>
      <c r="F18" s="3">
        <f>IFERROR((('Raw Data 5Y'!G27/'Raw Data 5Y'!F27)^(1/5)-1)*100,"")</f>
        <v/>
      </c>
      <c r="G18" s="3">
        <f>IFERROR((('Raw Data 5Y'!I27/'Raw Data 5Y'!H27)^(1/5)-1)*100,"")</f>
        <v/>
      </c>
      <c r="H18" s="3">
        <f>IFERROR((('Raw Data 5Y'!K27/'Raw Data 5Y'!J27)^(1/5)-1)*100,"")</f>
        <v/>
      </c>
      <c r="I18" s="3">
        <f>IFERROR((('Raw Data 5Y'!M27/'Raw Data 5Y'!L27)^(1/5)-1)*100,"")</f>
        <v/>
      </c>
      <c r="J18" s="3">
        <f>IFERROR((('Raw Data 5Y'!O27/'Raw Data 5Y'!N27)^(1/5)-1)*100,"")</f>
        <v/>
      </c>
      <c r="K18" s="3">
        <f>IFERROR((('Raw Data 5Y'!Q27/'Raw Data 5Y'!P27)^(1/5)-1)*100,"")</f>
        <v/>
      </c>
      <c r="L18" s="3">
        <f>IFERROR((('Raw Data 5Y'!S27/'Raw Data 5Y'!R27)^(1/5)-1)*100,"")</f>
        <v/>
      </c>
      <c r="M18" s="3">
        <f>IFERROR((('Raw Data 5Y'!U27/'Raw Data 5Y'!T27)^(1/5)-1)*100,"")</f>
        <v/>
      </c>
      <c r="N18" s="3">
        <f>IFERROR((('Raw Data 5Y'!W27/'Raw Data 5Y'!V27)^(1/5)-1)*100,"")</f>
        <v/>
      </c>
      <c r="O18" s="3">
        <f>IFERROR((('Raw Data 5Y'!Y27/'Raw Data 5Y'!X27)^(1/5)-1)*100,"")</f>
        <v/>
      </c>
      <c r="P18" s="3">
        <f>IFERROR((('Raw Data 5Y'!AA27/'Raw Data 5Y'!Z27)^(1/5)-1)*100,"")</f>
        <v/>
      </c>
      <c r="Q18" s="3">
        <f>IFERROR((('Raw Data 5Y'!AC27/'Raw Data 5Y'!AB27)^(1/5)-1)*100,"")</f>
        <v/>
      </c>
      <c r="R18" s="3">
        <f>IFERROR((('Raw Data 5Y'!AE27/'Raw Data 5Y'!AD27)^(1/5)-1)*100,"")</f>
        <v/>
      </c>
      <c r="S18" s="3">
        <f>IFERROR((('Raw Data 5Y'!AG27/'Raw Data 5Y'!AF27)^(1/5)-1)*100,"")</f>
        <v/>
      </c>
      <c r="T18" s="3">
        <f>IFERROR((('Raw Data 5Y'!AI27/'Raw Data 5Y'!AH27)^(1/5)-1)*100,"")</f>
        <v/>
      </c>
      <c r="U18" s="3">
        <f>IFERROR((('Raw Data 5Y'!AK27/'Raw Data 5Y'!AJ27)^(1/5)-1)*100,"")</f>
        <v/>
      </c>
      <c r="V18" s="3">
        <f>IF(AND(ISNUMBER(F18),COUNT(F$2:F$46)&gt;=4),IF(F18&gt;=QUARTILE(F$2:F$46,3),1,0),0)+IF(AND(ISNUMBER(G18),COUNT(G$2:G$46)&gt;=4),IF(G18&gt;=QUARTILE(G$2:G$46,3),1,0),0)+IF(AND(ISNUMBER(H18),COUNT(H$2:H$46)&gt;=4),IF(H18&gt;=QUARTILE(H$2:H$46,3),1,0),0)+IF(AND(ISNUMBER(I18),COUNT(I$2:I$46)&gt;=4),IF(I18&gt;=QUARTILE(I$2:I$46,3),1,0),0)+IF(AND(ISNUMBER(J18),COUNT(J$2:J$46)&gt;=4),IF(J18&gt;=QUARTILE(J$2:J$46,3),1,0),0)+IF(AND(ISNUMBER(K18),COUNT(K$2:K$46)&gt;=4),IF(K18&gt;=QUARTILE(K$2:K$46,3),1,0),0)+IF(AND(ISNUMBER(L18),COUNT(L$2:L$46)&gt;=4),IF(L18&gt;=QUARTILE(L$2:L$46,3),1,0),0)+IF(AND(ISNUMBER(M18),COUNT(M$2:M$46)&gt;=4),IF(M18&gt;=QUARTILE(M$2:M$46,3),1,0),0)+IF(AND(ISNUMBER(N18),COUNT(N$2:N$46)&gt;=4),IF(N18&gt;=QUARTILE(N$2:N$46,3),1,0),0)+IF(AND(ISNUMBER(O18),COUNT(O$2:O$46)&gt;=4),IF(O18&gt;=QUARTILE(O$2:O$46,3),1,0),0)+IF(AND(ISNUMBER(P18),COUNT(P$2:P$46)&gt;=4),IF(P18&gt;=QUARTILE(P$2:P$46,3),1,0),0)+IF(AND(ISNUMBER(Q18),COUNT(Q$2:Q$46)&gt;=4),IF(Q18&gt;=QUARTILE(Q$2:Q$46,3),1,0),0)+IF(AND(ISNUMBER(R18),COUNT(R$2:R$46)&gt;=4),IF(R18&gt;=QUARTILE(R$2:R$46,3),1,0),0)+IF(AND(ISNUMBER(S18),COUNT(S$2:S$46)&gt;=4),IF(S18&gt;=QUARTILE(S$2:S$46,3),1,0),0)+IF(AND(ISNUMBER(T18),COUNT(T$2:T$46)&gt;=4),IF(T18&gt;=QUARTILE(T$2:T$46,3),1,0),0)+IF(AND(ISNUMBER(U18),COUNT(U$2:U$46)&gt;=4),IF(U18&gt;=QUARTILE(U$2:U$46,3),1,0),0)</f>
        <v/>
      </c>
      <c r="W18" s="3">
        <f>IF(AND(ISNUMBER(F18),COUNT(F$2:F$46)&gt;=4),IF(F18&lt;=QUARTILE(F$2:F$46,1),1,0),0)+IF(AND(ISNUMBER(G18),COUNT(G$2:G$46)&gt;=4),IF(G18&lt;=QUARTILE(G$2:G$46,1),1,0),0)+IF(AND(ISNUMBER(H18),COUNT(H$2:H$46)&gt;=4),IF(H18&lt;=QUARTILE(H$2:H$46,1),1,0),0)+IF(AND(ISNUMBER(I18),COUNT(I$2:I$46)&gt;=4),IF(I18&lt;=QUARTILE(I$2:I$46,1),1,0),0)+IF(AND(ISNUMBER(J18),COUNT(J$2:J$46)&gt;=4),IF(J18&lt;=QUARTILE(J$2:J$46,1),1,0),0)+IF(AND(ISNUMBER(K18),COUNT(K$2:K$46)&gt;=4),IF(K18&lt;=QUARTILE(K$2:K$46,1),1,0),0)+IF(AND(ISNUMBER(L18),COUNT(L$2:L$46)&gt;=4),IF(L18&lt;=QUARTILE(L$2:L$46,1),1,0),0)+IF(AND(ISNUMBER(M18),COUNT(M$2:M$46)&gt;=4),IF(M18&lt;=QUARTILE(M$2:M$46,1),1,0),0)+IF(AND(ISNUMBER(N18),COUNT(N$2:N$46)&gt;=4),IF(N18&lt;=QUARTILE(N$2:N$46,1),1,0),0)+IF(AND(ISNUMBER(O18),COUNT(O$2:O$46)&gt;=4),IF(O18&lt;=QUARTILE(O$2:O$46,1),1,0),0)+IF(AND(ISNUMBER(P18),COUNT(P$2:P$46)&gt;=4),IF(P18&lt;=QUARTILE(P$2:P$46,1),1,0),0)+IF(AND(ISNUMBER(Q18),COUNT(Q$2:Q$46)&gt;=4),IF(Q18&lt;=QUARTILE(Q$2:Q$46,1),1,0),0)+IF(AND(ISNUMBER(R18),COUNT(R$2:R$46)&gt;=4),IF(R18&lt;=QUARTILE(R$2:R$46,1),1,0),0)+IF(AND(ISNUMBER(S18),COUNT(S$2:S$46)&gt;=4),IF(S18&lt;=QUARTILE(S$2:S$46,1),1,0),0)+IF(AND(ISNUMBER(T18),COUNT(T$2:T$46)&gt;=4),IF(T18&lt;=QUARTILE(T$2:T$46,1),1,0),0)+IF(AND(ISNUMBER(U18),COUNT(U$2:U$46)&gt;=4),IF(U18&lt;=QUARTILE(U$2:U$46,1),1,0),0)</f>
        <v/>
      </c>
      <c r="X18" s="3">
        <f>IF(W18=0,V18,ROUND(V18/W18,2))</f>
        <v/>
      </c>
      <c r="Y18" s="3">
        <f>IFERROR(IF(VLOOKUP(A18,'Raw Data 5Y'!A:AL,38,FALSE)="","none",VLOOKUP(A18,'Raw Data 5Y'!A:AL,38,FALSE)),"none")</f>
        <v/>
      </c>
      <c r="Z18" s="4" t="inlineStr">
        <is>
          <t>Source</t>
        </is>
      </c>
    </row>
    <row r="19">
      <c r="A19">
        <f>'Raw Data 5Y'!A15</f>
        <v/>
      </c>
      <c r="B19" s="3">
        <f>IFERROR((('Raw Data 5Y'!C15/'Raw Data 5Y'!B15)^(1/'Raw Data 5Y'!D15)-1)*100,"")</f>
        <v/>
      </c>
      <c r="C19" s="3">
        <f>'Raw Data 5Y'!E15</f>
        <v/>
      </c>
      <c r="D19" s="3">
        <f>INT('Raw Data 5Y'!D15)</f>
        <v/>
      </c>
      <c r="E19" s="3">
        <f>IFERROR(AVERAGE(F19:U19),"")</f>
        <v/>
      </c>
      <c r="F19" s="3">
        <f>IFERROR((('Raw Data 5Y'!G15/'Raw Data 5Y'!F15)^(1/5)-1)*100,"")</f>
        <v/>
      </c>
      <c r="G19" s="3">
        <f>IFERROR((('Raw Data 5Y'!I15/'Raw Data 5Y'!H15)^(1/5)-1)*100,"")</f>
        <v/>
      </c>
      <c r="H19" s="3">
        <f>IFERROR((('Raw Data 5Y'!K15/'Raw Data 5Y'!J15)^(1/5)-1)*100,"")</f>
        <v/>
      </c>
      <c r="I19" s="3">
        <f>IFERROR((('Raw Data 5Y'!M15/'Raw Data 5Y'!L15)^(1/5)-1)*100,"")</f>
        <v/>
      </c>
      <c r="J19" s="3">
        <f>IFERROR((('Raw Data 5Y'!O15/'Raw Data 5Y'!N15)^(1/5)-1)*100,"")</f>
        <v/>
      </c>
      <c r="K19" s="3">
        <f>IFERROR((('Raw Data 5Y'!Q15/'Raw Data 5Y'!P15)^(1/5)-1)*100,"")</f>
        <v/>
      </c>
      <c r="L19" s="3">
        <f>IFERROR((('Raw Data 5Y'!S15/'Raw Data 5Y'!R15)^(1/5)-1)*100,"")</f>
        <v/>
      </c>
      <c r="M19" s="3">
        <f>IFERROR((('Raw Data 5Y'!U15/'Raw Data 5Y'!T15)^(1/5)-1)*100,"")</f>
        <v/>
      </c>
      <c r="N19" s="3">
        <f>IFERROR((('Raw Data 5Y'!W15/'Raw Data 5Y'!V15)^(1/5)-1)*100,"")</f>
        <v/>
      </c>
      <c r="O19" s="3">
        <f>IFERROR((('Raw Data 5Y'!Y15/'Raw Data 5Y'!X15)^(1/5)-1)*100,"")</f>
        <v/>
      </c>
      <c r="P19" s="3">
        <f>IFERROR((('Raw Data 5Y'!AA15/'Raw Data 5Y'!Z15)^(1/5)-1)*100,"")</f>
        <v/>
      </c>
      <c r="Q19" s="3">
        <f>IFERROR((('Raw Data 5Y'!AC15/'Raw Data 5Y'!AB15)^(1/5)-1)*100,"")</f>
        <v/>
      </c>
      <c r="R19" s="3">
        <f>IFERROR((('Raw Data 5Y'!AE15/'Raw Data 5Y'!AD15)^(1/5)-1)*100,"")</f>
        <v/>
      </c>
      <c r="S19" s="3">
        <f>IFERROR((('Raw Data 5Y'!AG15/'Raw Data 5Y'!AF15)^(1/5)-1)*100,"")</f>
        <v/>
      </c>
      <c r="T19" s="3">
        <f>IFERROR((('Raw Data 5Y'!AI15/'Raw Data 5Y'!AH15)^(1/5)-1)*100,"")</f>
        <v/>
      </c>
      <c r="U19" s="3">
        <f>IFERROR((('Raw Data 5Y'!AK15/'Raw Data 5Y'!AJ15)^(1/5)-1)*100,"")</f>
        <v/>
      </c>
      <c r="V19" s="3">
        <f>IF(AND(ISNUMBER(F19),COUNT(F$2:F$46)&gt;=4),IF(F19&gt;=QUARTILE(F$2:F$46,3),1,0),0)+IF(AND(ISNUMBER(G19),COUNT(G$2:G$46)&gt;=4),IF(G19&gt;=QUARTILE(G$2:G$46,3),1,0),0)+IF(AND(ISNUMBER(H19),COUNT(H$2:H$46)&gt;=4),IF(H19&gt;=QUARTILE(H$2:H$46,3),1,0),0)+IF(AND(ISNUMBER(I19),COUNT(I$2:I$46)&gt;=4),IF(I19&gt;=QUARTILE(I$2:I$46,3),1,0),0)+IF(AND(ISNUMBER(J19),COUNT(J$2:J$46)&gt;=4),IF(J19&gt;=QUARTILE(J$2:J$46,3),1,0),0)+IF(AND(ISNUMBER(K19),COUNT(K$2:K$46)&gt;=4),IF(K19&gt;=QUARTILE(K$2:K$46,3),1,0),0)+IF(AND(ISNUMBER(L19),COUNT(L$2:L$46)&gt;=4),IF(L19&gt;=QUARTILE(L$2:L$46,3),1,0),0)+IF(AND(ISNUMBER(M19),COUNT(M$2:M$46)&gt;=4),IF(M19&gt;=QUARTILE(M$2:M$46,3),1,0),0)+IF(AND(ISNUMBER(N19),COUNT(N$2:N$46)&gt;=4),IF(N19&gt;=QUARTILE(N$2:N$46,3),1,0),0)+IF(AND(ISNUMBER(O19),COUNT(O$2:O$46)&gt;=4),IF(O19&gt;=QUARTILE(O$2:O$46,3),1,0),0)+IF(AND(ISNUMBER(P19),COUNT(P$2:P$46)&gt;=4),IF(P19&gt;=QUARTILE(P$2:P$46,3),1,0),0)+IF(AND(ISNUMBER(Q19),COUNT(Q$2:Q$46)&gt;=4),IF(Q19&gt;=QUARTILE(Q$2:Q$46,3),1,0),0)+IF(AND(ISNUMBER(R19),COUNT(R$2:R$46)&gt;=4),IF(R19&gt;=QUARTILE(R$2:R$46,3),1,0),0)+IF(AND(ISNUMBER(S19),COUNT(S$2:S$46)&gt;=4),IF(S19&gt;=QUARTILE(S$2:S$46,3),1,0),0)+IF(AND(ISNUMBER(T19),COUNT(T$2:T$46)&gt;=4),IF(T19&gt;=QUARTILE(T$2:T$46,3),1,0),0)+IF(AND(ISNUMBER(U19),COUNT(U$2:U$46)&gt;=4),IF(U19&gt;=QUARTILE(U$2:U$46,3),1,0),0)</f>
        <v/>
      </c>
      <c r="W19" s="3">
        <f>IF(AND(ISNUMBER(F19),COUNT(F$2:F$46)&gt;=4),IF(F19&lt;=QUARTILE(F$2:F$46,1),1,0),0)+IF(AND(ISNUMBER(G19),COUNT(G$2:G$46)&gt;=4),IF(G19&lt;=QUARTILE(G$2:G$46,1),1,0),0)+IF(AND(ISNUMBER(H19),COUNT(H$2:H$46)&gt;=4),IF(H19&lt;=QUARTILE(H$2:H$46,1),1,0),0)+IF(AND(ISNUMBER(I19),COUNT(I$2:I$46)&gt;=4),IF(I19&lt;=QUARTILE(I$2:I$46,1),1,0),0)+IF(AND(ISNUMBER(J19),COUNT(J$2:J$46)&gt;=4),IF(J19&lt;=QUARTILE(J$2:J$46,1),1,0),0)+IF(AND(ISNUMBER(K19),COUNT(K$2:K$46)&gt;=4),IF(K19&lt;=QUARTILE(K$2:K$46,1),1,0),0)+IF(AND(ISNUMBER(L19),COUNT(L$2:L$46)&gt;=4),IF(L19&lt;=QUARTILE(L$2:L$46,1),1,0),0)+IF(AND(ISNUMBER(M19),COUNT(M$2:M$46)&gt;=4),IF(M19&lt;=QUARTILE(M$2:M$46,1),1,0),0)+IF(AND(ISNUMBER(N19),COUNT(N$2:N$46)&gt;=4),IF(N19&lt;=QUARTILE(N$2:N$46,1),1,0),0)+IF(AND(ISNUMBER(O19),COUNT(O$2:O$46)&gt;=4),IF(O19&lt;=QUARTILE(O$2:O$46,1),1,0),0)+IF(AND(ISNUMBER(P19),COUNT(P$2:P$46)&gt;=4),IF(P19&lt;=QUARTILE(P$2:P$46,1),1,0),0)+IF(AND(ISNUMBER(Q19),COUNT(Q$2:Q$46)&gt;=4),IF(Q19&lt;=QUARTILE(Q$2:Q$46,1),1,0),0)+IF(AND(ISNUMBER(R19),COUNT(R$2:R$46)&gt;=4),IF(R19&lt;=QUARTILE(R$2:R$46,1),1,0),0)+IF(AND(ISNUMBER(S19),COUNT(S$2:S$46)&gt;=4),IF(S19&lt;=QUARTILE(S$2:S$46,1),1,0),0)+IF(AND(ISNUMBER(T19),COUNT(T$2:T$46)&gt;=4),IF(T19&lt;=QUARTILE(T$2:T$46,1),1,0),0)+IF(AND(ISNUMBER(U19),COUNT(U$2:U$46)&gt;=4),IF(U19&lt;=QUARTILE(U$2:U$46,1),1,0),0)</f>
        <v/>
      </c>
      <c r="X19" s="3">
        <f>IF(W19=0,V19,ROUND(V19/W19,2))</f>
        <v/>
      </c>
      <c r="Y19" s="3">
        <f>IFERROR(IF(VLOOKUP(A19,'Raw Data 5Y'!A:AL,38,FALSE)="","none",VLOOKUP(A19,'Raw Data 5Y'!A:AL,38,FALSE)),"none")</f>
        <v/>
      </c>
      <c r="Z19" s="4" t="inlineStr">
        <is>
          <t>Source</t>
        </is>
      </c>
    </row>
    <row r="20">
      <c r="A20">
        <f>'Raw Data 5Y'!A46</f>
        <v/>
      </c>
      <c r="B20" s="3">
        <f>IFERROR((('Raw Data 5Y'!C46/'Raw Data 5Y'!B46)^(1/'Raw Data 5Y'!D46)-1)*100,"")</f>
        <v/>
      </c>
      <c r="C20" s="3">
        <f>'Raw Data 5Y'!E46</f>
        <v/>
      </c>
      <c r="D20" s="3">
        <f>INT('Raw Data 5Y'!D46)</f>
        <v/>
      </c>
      <c r="E20" s="3">
        <f>IFERROR(AVERAGE(F20:U20),"")</f>
        <v/>
      </c>
      <c r="F20" s="3">
        <f>IFERROR((('Raw Data 5Y'!G46/'Raw Data 5Y'!F46)^(1/5)-1)*100,"")</f>
        <v/>
      </c>
      <c r="G20" s="3">
        <f>IFERROR((('Raw Data 5Y'!I46/'Raw Data 5Y'!H46)^(1/5)-1)*100,"")</f>
        <v/>
      </c>
      <c r="H20" s="3">
        <f>IFERROR((('Raw Data 5Y'!K46/'Raw Data 5Y'!J46)^(1/5)-1)*100,"")</f>
        <v/>
      </c>
      <c r="I20" s="3">
        <f>IFERROR((('Raw Data 5Y'!M46/'Raw Data 5Y'!L46)^(1/5)-1)*100,"")</f>
        <v/>
      </c>
      <c r="J20" s="3">
        <f>IFERROR((('Raw Data 5Y'!O46/'Raw Data 5Y'!N46)^(1/5)-1)*100,"")</f>
        <v/>
      </c>
      <c r="K20" s="3">
        <f>IFERROR((('Raw Data 5Y'!Q46/'Raw Data 5Y'!P46)^(1/5)-1)*100,"")</f>
        <v/>
      </c>
      <c r="L20" s="3">
        <f>IFERROR((('Raw Data 5Y'!S46/'Raw Data 5Y'!R46)^(1/5)-1)*100,"")</f>
        <v/>
      </c>
      <c r="M20" s="3">
        <f>IFERROR((('Raw Data 5Y'!U46/'Raw Data 5Y'!T46)^(1/5)-1)*100,"")</f>
        <v/>
      </c>
      <c r="N20" s="3">
        <f>IFERROR((('Raw Data 5Y'!W46/'Raw Data 5Y'!V46)^(1/5)-1)*100,"")</f>
        <v/>
      </c>
      <c r="O20" s="3">
        <f>IFERROR((('Raw Data 5Y'!Y46/'Raw Data 5Y'!X46)^(1/5)-1)*100,"")</f>
        <v/>
      </c>
      <c r="P20" s="3">
        <f>IFERROR((('Raw Data 5Y'!AA46/'Raw Data 5Y'!Z46)^(1/5)-1)*100,"")</f>
        <v/>
      </c>
      <c r="Q20" s="3">
        <f>IFERROR((('Raw Data 5Y'!AC46/'Raw Data 5Y'!AB46)^(1/5)-1)*100,"")</f>
        <v/>
      </c>
      <c r="R20" s="3">
        <f>IFERROR((('Raw Data 5Y'!AE46/'Raw Data 5Y'!AD46)^(1/5)-1)*100,"")</f>
        <v/>
      </c>
      <c r="S20" s="3">
        <f>IFERROR((('Raw Data 5Y'!AG46/'Raw Data 5Y'!AF46)^(1/5)-1)*100,"")</f>
        <v/>
      </c>
      <c r="T20" s="3">
        <f>IFERROR((('Raw Data 5Y'!AI46/'Raw Data 5Y'!AH46)^(1/5)-1)*100,"")</f>
        <v/>
      </c>
      <c r="U20" s="3">
        <f>IFERROR((('Raw Data 5Y'!AK46/'Raw Data 5Y'!AJ46)^(1/5)-1)*100,"")</f>
        <v/>
      </c>
      <c r="V20" s="3">
        <f>IF(AND(ISNUMBER(F20),COUNT(F$2:F$46)&gt;=4),IF(F20&gt;=QUARTILE(F$2:F$46,3),1,0),0)+IF(AND(ISNUMBER(G20),COUNT(G$2:G$46)&gt;=4),IF(G20&gt;=QUARTILE(G$2:G$46,3),1,0),0)+IF(AND(ISNUMBER(H20),COUNT(H$2:H$46)&gt;=4),IF(H20&gt;=QUARTILE(H$2:H$46,3),1,0),0)+IF(AND(ISNUMBER(I20),COUNT(I$2:I$46)&gt;=4),IF(I20&gt;=QUARTILE(I$2:I$46,3),1,0),0)+IF(AND(ISNUMBER(J20),COUNT(J$2:J$46)&gt;=4),IF(J20&gt;=QUARTILE(J$2:J$46,3),1,0),0)+IF(AND(ISNUMBER(K20),COUNT(K$2:K$46)&gt;=4),IF(K20&gt;=QUARTILE(K$2:K$46,3),1,0),0)+IF(AND(ISNUMBER(L20),COUNT(L$2:L$46)&gt;=4),IF(L20&gt;=QUARTILE(L$2:L$46,3),1,0),0)+IF(AND(ISNUMBER(M20),COUNT(M$2:M$46)&gt;=4),IF(M20&gt;=QUARTILE(M$2:M$46,3),1,0),0)+IF(AND(ISNUMBER(N20),COUNT(N$2:N$46)&gt;=4),IF(N20&gt;=QUARTILE(N$2:N$46,3),1,0),0)+IF(AND(ISNUMBER(O20),COUNT(O$2:O$46)&gt;=4),IF(O20&gt;=QUARTILE(O$2:O$46,3),1,0),0)+IF(AND(ISNUMBER(P20),COUNT(P$2:P$46)&gt;=4),IF(P20&gt;=QUARTILE(P$2:P$46,3),1,0),0)+IF(AND(ISNUMBER(Q20),COUNT(Q$2:Q$46)&gt;=4),IF(Q20&gt;=QUARTILE(Q$2:Q$46,3),1,0),0)+IF(AND(ISNUMBER(R20),COUNT(R$2:R$46)&gt;=4),IF(R20&gt;=QUARTILE(R$2:R$46,3),1,0),0)+IF(AND(ISNUMBER(S20),COUNT(S$2:S$46)&gt;=4),IF(S20&gt;=QUARTILE(S$2:S$46,3),1,0),0)+IF(AND(ISNUMBER(T20),COUNT(T$2:T$46)&gt;=4),IF(T20&gt;=QUARTILE(T$2:T$46,3),1,0),0)+IF(AND(ISNUMBER(U20),COUNT(U$2:U$46)&gt;=4),IF(U20&gt;=QUARTILE(U$2:U$46,3),1,0),0)</f>
        <v/>
      </c>
      <c r="W20" s="3">
        <f>IF(AND(ISNUMBER(F20),COUNT(F$2:F$46)&gt;=4),IF(F20&lt;=QUARTILE(F$2:F$46,1),1,0),0)+IF(AND(ISNUMBER(G20),COUNT(G$2:G$46)&gt;=4),IF(G20&lt;=QUARTILE(G$2:G$46,1),1,0),0)+IF(AND(ISNUMBER(H20),COUNT(H$2:H$46)&gt;=4),IF(H20&lt;=QUARTILE(H$2:H$46,1),1,0),0)+IF(AND(ISNUMBER(I20),COUNT(I$2:I$46)&gt;=4),IF(I20&lt;=QUARTILE(I$2:I$46,1),1,0),0)+IF(AND(ISNUMBER(J20),COUNT(J$2:J$46)&gt;=4),IF(J20&lt;=QUARTILE(J$2:J$46,1),1,0),0)+IF(AND(ISNUMBER(K20),COUNT(K$2:K$46)&gt;=4),IF(K20&lt;=QUARTILE(K$2:K$46,1),1,0),0)+IF(AND(ISNUMBER(L20),COUNT(L$2:L$46)&gt;=4),IF(L20&lt;=QUARTILE(L$2:L$46,1),1,0),0)+IF(AND(ISNUMBER(M20),COUNT(M$2:M$46)&gt;=4),IF(M20&lt;=QUARTILE(M$2:M$46,1),1,0),0)+IF(AND(ISNUMBER(N20),COUNT(N$2:N$46)&gt;=4),IF(N20&lt;=QUARTILE(N$2:N$46,1),1,0),0)+IF(AND(ISNUMBER(O20),COUNT(O$2:O$46)&gt;=4),IF(O20&lt;=QUARTILE(O$2:O$46,1),1,0),0)+IF(AND(ISNUMBER(P20),COUNT(P$2:P$46)&gt;=4),IF(P20&lt;=QUARTILE(P$2:P$46,1),1,0),0)+IF(AND(ISNUMBER(Q20),COUNT(Q$2:Q$46)&gt;=4),IF(Q20&lt;=QUARTILE(Q$2:Q$46,1),1,0),0)+IF(AND(ISNUMBER(R20),COUNT(R$2:R$46)&gt;=4),IF(R20&lt;=QUARTILE(R$2:R$46,1),1,0),0)+IF(AND(ISNUMBER(S20),COUNT(S$2:S$46)&gt;=4),IF(S20&lt;=QUARTILE(S$2:S$46,1),1,0),0)+IF(AND(ISNUMBER(T20),COUNT(T$2:T$46)&gt;=4),IF(T20&lt;=QUARTILE(T$2:T$46,1),1,0),0)+IF(AND(ISNUMBER(U20),COUNT(U$2:U$46)&gt;=4),IF(U20&lt;=QUARTILE(U$2:U$46,1),1,0),0)</f>
        <v/>
      </c>
      <c r="X20" s="3">
        <f>IF(W20=0,V20,ROUND(V20/W20,2))</f>
        <v/>
      </c>
      <c r="Y20" s="3">
        <f>IFERROR(IF(VLOOKUP(A20,'Raw Data 5Y'!A:AL,38,FALSE)="","none",VLOOKUP(A20,'Raw Data 5Y'!A:AL,38,FALSE)),"none")</f>
        <v/>
      </c>
      <c r="Z20" s="4" t="inlineStr">
        <is>
          <t>Source</t>
        </is>
      </c>
    </row>
    <row r="21">
      <c r="A21">
        <f>'Raw Data 5Y'!A5</f>
        <v/>
      </c>
      <c r="B21" s="3">
        <f>IFERROR((('Raw Data 5Y'!C5/'Raw Data 5Y'!B5)^(1/'Raw Data 5Y'!D5)-1)*100,"")</f>
        <v/>
      </c>
      <c r="C21" s="3">
        <f>'Raw Data 5Y'!E5</f>
        <v/>
      </c>
      <c r="D21" s="3">
        <f>INT('Raw Data 5Y'!D5)</f>
        <v/>
      </c>
      <c r="E21" s="3">
        <f>IFERROR(AVERAGE(F21:U21),"")</f>
        <v/>
      </c>
      <c r="F21" s="3">
        <f>IFERROR((('Raw Data 5Y'!G5/'Raw Data 5Y'!F5)^(1/5)-1)*100,"")</f>
        <v/>
      </c>
      <c r="G21" s="3">
        <f>IFERROR((('Raw Data 5Y'!I5/'Raw Data 5Y'!H5)^(1/5)-1)*100,"")</f>
        <v/>
      </c>
      <c r="H21" s="3">
        <f>IFERROR((('Raw Data 5Y'!K5/'Raw Data 5Y'!J5)^(1/5)-1)*100,"")</f>
        <v/>
      </c>
      <c r="I21" s="3">
        <f>IFERROR((('Raw Data 5Y'!M5/'Raw Data 5Y'!L5)^(1/5)-1)*100,"")</f>
        <v/>
      </c>
      <c r="J21" s="3">
        <f>IFERROR((('Raw Data 5Y'!O5/'Raw Data 5Y'!N5)^(1/5)-1)*100,"")</f>
        <v/>
      </c>
      <c r="K21" s="3">
        <f>IFERROR((('Raw Data 5Y'!Q5/'Raw Data 5Y'!P5)^(1/5)-1)*100,"")</f>
        <v/>
      </c>
      <c r="L21" s="3">
        <f>IFERROR((('Raw Data 5Y'!S5/'Raw Data 5Y'!R5)^(1/5)-1)*100,"")</f>
        <v/>
      </c>
      <c r="M21" s="3">
        <f>IFERROR((('Raw Data 5Y'!U5/'Raw Data 5Y'!T5)^(1/5)-1)*100,"")</f>
        <v/>
      </c>
      <c r="N21" s="3">
        <f>IFERROR((('Raw Data 5Y'!W5/'Raw Data 5Y'!V5)^(1/5)-1)*100,"")</f>
        <v/>
      </c>
      <c r="O21" s="3">
        <f>IFERROR((('Raw Data 5Y'!Y5/'Raw Data 5Y'!X5)^(1/5)-1)*100,"")</f>
        <v/>
      </c>
      <c r="P21" s="3">
        <f>IFERROR((('Raw Data 5Y'!AA5/'Raw Data 5Y'!Z5)^(1/5)-1)*100,"")</f>
        <v/>
      </c>
      <c r="Q21" s="3">
        <f>IFERROR((('Raw Data 5Y'!AC5/'Raw Data 5Y'!AB5)^(1/5)-1)*100,"")</f>
        <v/>
      </c>
      <c r="R21" s="3">
        <f>IFERROR((('Raw Data 5Y'!AE5/'Raw Data 5Y'!AD5)^(1/5)-1)*100,"")</f>
        <v/>
      </c>
      <c r="S21" s="3">
        <f>IFERROR((('Raw Data 5Y'!AG5/'Raw Data 5Y'!AF5)^(1/5)-1)*100,"")</f>
        <v/>
      </c>
      <c r="T21" s="3">
        <f>IFERROR((('Raw Data 5Y'!AI5/'Raw Data 5Y'!AH5)^(1/5)-1)*100,"")</f>
        <v/>
      </c>
      <c r="U21" s="3">
        <f>IFERROR((('Raw Data 5Y'!AK5/'Raw Data 5Y'!AJ5)^(1/5)-1)*100,"")</f>
        <v/>
      </c>
      <c r="V21" s="3">
        <f>IF(AND(ISNUMBER(F21),COUNT(F$2:F$46)&gt;=4),IF(F21&gt;=QUARTILE(F$2:F$46,3),1,0),0)+IF(AND(ISNUMBER(G21),COUNT(G$2:G$46)&gt;=4),IF(G21&gt;=QUARTILE(G$2:G$46,3),1,0),0)+IF(AND(ISNUMBER(H21),COUNT(H$2:H$46)&gt;=4),IF(H21&gt;=QUARTILE(H$2:H$46,3),1,0),0)+IF(AND(ISNUMBER(I21),COUNT(I$2:I$46)&gt;=4),IF(I21&gt;=QUARTILE(I$2:I$46,3),1,0),0)+IF(AND(ISNUMBER(J21),COUNT(J$2:J$46)&gt;=4),IF(J21&gt;=QUARTILE(J$2:J$46,3),1,0),0)+IF(AND(ISNUMBER(K21),COUNT(K$2:K$46)&gt;=4),IF(K21&gt;=QUARTILE(K$2:K$46,3),1,0),0)+IF(AND(ISNUMBER(L21),COUNT(L$2:L$46)&gt;=4),IF(L21&gt;=QUARTILE(L$2:L$46,3),1,0),0)+IF(AND(ISNUMBER(M21),COUNT(M$2:M$46)&gt;=4),IF(M21&gt;=QUARTILE(M$2:M$46,3),1,0),0)+IF(AND(ISNUMBER(N21),COUNT(N$2:N$46)&gt;=4),IF(N21&gt;=QUARTILE(N$2:N$46,3),1,0),0)+IF(AND(ISNUMBER(O21),COUNT(O$2:O$46)&gt;=4),IF(O21&gt;=QUARTILE(O$2:O$46,3),1,0),0)+IF(AND(ISNUMBER(P21),COUNT(P$2:P$46)&gt;=4),IF(P21&gt;=QUARTILE(P$2:P$46,3),1,0),0)+IF(AND(ISNUMBER(Q21),COUNT(Q$2:Q$46)&gt;=4),IF(Q21&gt;=QUARTILE(Q$2:Q$46,3),1,0),0)+IF(AND(ISNUMBER(R21),COUNT(R$2:R$46)&gt;=4),IF(R21&gt;=QUARTILE(R$2:R$46,3),1,0),0)+IF(AND(ISNUMBER(S21),COUNT(S$2:S$46)&gt;=4),IF(S21&gt;=QUARTILE(S$2:S$46,3),1,0),0)+IF(AND(ISNUMBER(T21),COUNT(T$2:T$46)&gt;=4),IF(T21&gt;=QUARTILE(T$2:T$46,3),1,0),0)+IF(AND(ISNUMBER(U21),COUNT(U$2:U$46)&gt;=4),IF(U21&gt;=QUARTILE(U$2:U$46,3),1,0),0)</f>
        <v/>
      </c>
      <c r="W21" s="3">
        <f>IF(AND(ISNUMBER(F21),COUNT(F$2:F$46)&gt;=4),IF(F21&lt;=QUARTILE(F$2:F$46,1),1,0),0)+IF(AND(ISNUMBER(G21),COUNT(G$2:G$46)&gt;=4),IF(G21&lt;=QUARTILE(G$2:G$46,1),1,0),0)+IF(AND(ISNUMBER(H21),COUNT(H$2:H$46)&gt;=4),IF(H21&lt;=QUARTILE(H$2:H$46,1),1,0),0)+IF(AND(ISNUMBER(I21),COUNT(I$2:I$46)&gt;=4),IF(I21&lt;=QUARTILE(I$2:I$46,1),1,0),0)+IF(AND(ISNUMBER(J21),COUNT(J$2:J$46)&gt;=4),IF(J21&lt;=QUARTILE(J$2:J$46,1),1,0),0)+IF(AND(ISNUMBER(K21),COUNT(K$2:K$46)&gt;=4),IF(K21&lt;=QUARTILE(K$2:K$46,1),1,0),0)+IF(AND(ISNUMBER(L21),COUNT(L$2:L$46)&gt;=4),IF(L21&lt;=QUARTILE(L$2:L$46,1),1,0),0)+IF(AND(ISNUMBER(M21),COUNT(M$2:M$46)&gt;=4),IF(M21&lt;=QUARTILE(M$2:M$46,1),1,0),0)+IF(AND(ISNUMBER(N21),COUNT(N$2:N$46)&gt;=4),IF(N21&lt;=QUARTILE(N$2:N$46,1),1,0),0)+IF(AND(ISNUMBER(O21),COUNT(O$2:O$46)&gt;=4),IF(O21&lt;=QUARTILE(O$2:O$46,1),1,0),0)+IF(AND(ISNUMBER(P21),COUNT(P$2:P$46)&gt;=4),IF(P21&lt;=QUARTILE(P$2:P$46,1),1,0),0)+IF(AND(ISNUMBER(Q21),COUNT(Q$2:Q$46)&gt;=4),IF(Q21&lt;=QUARTILE(Q$2:Q$46,1),1,0),0)+IF(AND(ISNUMBER(R21),COUNT(R$2:R$46)&gt;=4),IF(R21&lt;=QUARTILE(R$2:R$46,1),1,0),0)+IF(AND(ISNUMBER(S21),COUNT(S$2:S$46)&gt;=4),IF(S21&lt;=QUARTILE(S$2:S$46,1),1,0),0)+IF(AND(ISNUMBER(T21),COUNT(T$2:T$46)&gt;=4),IF(T21&lt;=QUARTILE(T$2:T$46,1),1,0),0)+IF(AND(ISNUMBER(U21),COUNT(U$2:U$46)&gt;=4),IF(U21&lt;=QUARTILE(U$2:U$46,1),1,0),0)</f>
        <v/>
      </c>
      <c r="X21" s="3">
        <f>IF(W21=0,V21,ROUND(V21/W21,2))</f>
        <v/>
      </c>
      <c r="Y21" s="3">
        <f>IFERROR(IF(VLOOKUP(A21,'Raw Data 5Y'!A:AL,38,FALSE)="","none",VLOOKUP(A21,'Raw Data 5Y'!A:AL,38,FALSE)),"none")</f>
        <v/>
      </c>
      <c r="Z21" s="4" t="inlineStr">
        <is>
          <t>Source</t>
        </is>
      </c>
    </row>
    <row r="22">
      <c r="A22">
        <f>'Raw Data 5Y'!A40</f>
        <v/>
      </c>
      <c r="B22" s="3">
        <f>IFERROR((('Raw Data 5Y'!C40/'Raw Data 5Y'!B40)^(1/'Raw Data 5Y'!D40)-1)*100,"")</f>
        <v/>
      </c>
      <c r="C22" s="3">
        <f>'Raw Data 5Y'!E40</f>
        <v/>
      </c>
      <c r="D22" s="3">
        <f>INT('Raw Data 5Y'!D40)</f>
        <v/>
      </c>
      <c r="E22" s="3">
        <f>IFERROR(AVERAGE(F22:U22),"")</f>
        <v/>
      </c>
      <c r="F22" s="3">
        <f>IFERROR((('Raw Data 5Y'!G40/'Raw Data 5Y'!F40)^(1/5)-1)*100,"")</f>
        <v/>
      </c>
      <c r="G22" s="3">
        <f>IFERROR((('Raw Data 5Y'!I40/'Raw Data 5Y'!H40)^(1/5)-1)*100,"")</f>
        <v/>
      </c>
      <c r="H22" s="3">
        <f>IFERROR((('Raw Data 5Y'!K40/'Raw Data 5Y'!J40)^(1/5)-1)*100,"")</f>
        <v/>
      </c>
      <c r="I22" s="3">
        <f>IFERROR((('Raw Data 5Y'!M40/'Raw Data 5Y'!L40)^(1/5)-1)*100,"")</f>
        <v/>
      </c>
      <c r="J22" s="3">
        <f>IFERROR((('Raw Data 5Y'!O40/'Raw Data 5Y'!N40)^(1/5)-1)*100,"")</f>
        <v/>
      </c>
      <c r="K22" s="3">
        <f>IFERROR((('Raw Data 5Y'!Q40/'Raw Data 5Y'!P40)^(1/5)-1)*100,"")</f>
        <v/>
      </c>
      <c r="L22" s="3">
        <f>IFERROR((('Raw Data 5Y'!S40/'Raw Data 5Y'!R40)^(1/5)-1)*100,"")</f>
        <v/>
      </c>
      <c r="M22" s="3">
        <f>IFERROR((('Raw Data 5Y'!U40/'Raw Data 5Y'!T40)^(1/5)-1)*100,"")</f>
        <v/>
      </c>
      <c r="N22" s="3">
        <f>IFERROR((('Raw Data 5Y'!W40/'Raw Data 5Y'!V40)^(1/5)-1)*100,"")</f>
        <v/>
      </c>
      <c r="O22" s="3">
        <f>IFERROR((('Raw Data 5Y'!Y40/'Raw Data 5Y'!X40)^(1/5)-1)*100,"")</f>
        <v/>
      </c>
      <c r="P22" s="3">
        <f>IFERROR((('Raw Data 5Y'!AA40/'Raw Data 5Y'!Z40)^(1/5)-1)*100,"")</f>
        <v/>
      </c>
      <c r="Q22" s="3">
        <f>IFERROR((('Raw Data 5Y'!AC40/'Raw Data 5Y'!AB40)^(1/5)-1)*100,"")</f>
        <v/>
      </c>
      <c r="R22" s="3">
        <f>IFERROR((('Raw Data 5Y'!AE40/'Raw Data 5Y'!AD40)^(1/5)-1)*100,"")</f>
        <v/>
      </c>
      <c r="S22" s="3">
        <f>IFERROR((('Raw Data 5Y'!AG40/'Raw Data 5Y'!AF40)^(1/5)-1)*100,"")</f>
        <v/>
      </c>
      <c r="T22" s="3">
        <f>IFERROR((('Raw Data 5Y'!AI40/'Raw Data 5Y'!AH40)^(1/5)-1)*100,"")</f>
        <v/>
      </c>
      <c r="U22" s="3">
        <f>IFERROR((('Raw Data 5Y'!AK40/'Raw Data 5Y'!AJ40)^(1/5)-1)*100,"")</f>
        <v/>
      </c>
      <c r="V22" s="3">
        <f>IF(AND(ISNUMBER(F22),COUNT(F$2:F$46)&gt;=4),IF(F22&gt;=QUARTILE(F$2:F$46,3),1,0),0)+IF(AND(ISNUMBER(G22),COUNT(G$2:G$46)&gt;=4),IF(G22&gt;=QUARTILE(G$2:G$46,3),1,0),0)+IF(AND(ISNUMBER(H22),COUNT(H$2:H$46)&gt;=4),IF(H22&gt;=QUARTILE(H$2:H$46,3),1,0),0)+IF(AND(ISNUMBER(I22),COUNT(I$2:I$46)&gt;=4),IF(I22&gt;=QUARTILE(I$2:I$46,3),1,0),0)+IF(AND(ISNUMBER(J22),COUNT(J$2:J$46)&gt;=4),IF(J22&gt;=QUARTILE(J$2:J$46,3),1,0),0)+IF(AND(ISNUMBER(K22),COUNT(K$2:K$46)&gt;=4),IF(K22&gt;=QUARTILE(K$2:K$46,3),1,0),0)+IF(AND(ISNUMBER(L22),COUNT(L$2:L$46)&gt;=4),IF(L22&gt;=QUARTILE(L$2:L$46,3),1,0),0)+IF(AND(ISNUMBER(M22),COUNT(M$2:M$46)&gt;=4),IF(M22&gt;=QUARTILE(M$2:M$46,3),1,0),0)+IF(AND(ISNUMBER(N22),COUNT(N$2:N$46)&gt;=4),IF(N22&gt;=QUARTILE(N$2:N$46,3),1,0),0)+IF(AND(ISNUMBER(O22),COUNT(O$2:O$46)&gt;=4),IF(O22&gt;=QUARTILE(O$2:O$46,3),1,0),0)+IF(AND(ISNUMBER(P22),COUNT(P$2:P$46)&gt;=4),IF(P22&gt;=QUARTILE(P$2:P$46,3),1,0),0)+IF(AND(ISNUMBER(Q22),COUNT(Q$2:Q$46)&gt;=4),IF(Q22&gt;=QUARTILE(Q$2:Q$46,3),1,0),0)+IF(AND(ISNUMBER(R22),COUNT(R$2:R$46)&gt;=4),IF(R22&gt;=QUARTILE(R$2:R$46,3),1,0),0)+IF(AND(ISNUMBER(S22),COUNT(S$2:S$46)&gt;=4),IF(S22&gt;=QUARTILE(S$2:S$46,3),1,0),0)+IF(AND(ISNUMBER(T22),COUNT(T$2:T$46)&gt;=4),IF(T22&gt;=QUARTILE(T$2:T$46,3),1,0),0)+IF(AND(ISNUMBER(U22),COUNT(U$2:U$46)&gt;=4),IF(U22&gt;=QUARTILE(U$2:U$46,3),1,0),0)</f>
        <v/>
      </c>
      <c r="W22" s="3">
        <f>IF(AND(ISNUMBER(F22),COUNT(F$2:F$46)&gt;=4),IF(F22&lt;=QUARTILE(F$2:F$46,1),1,0),0)+IF(AND(ISNUMBER(G22),COUNT(G$2:G$46)&gt;=4),IF(G22&lt;=QUARTILE(G$2:G$46,1),1,0),0)+IF(AND(ISNUMBER(H22),COUNT(H$2:H$46)&gt;=4),IF(H22&lt;=QUARTILE(H$2:H$46,1),1,0),0)+IF(AND(ISNUMBER(I22),COUNT(I$2:I$46)&gt;=4),IF(I22&lt;=QUARTILE(I$2:I$46,1),1,0),0)+IF(AND(ISNUMBER(J22),COUNT(J$2:J$46)&gt;=4),IF(J22&lt;=QUARTILE(J$2:J$46,1),1,0),0)+IF(AND(ISNUMBER(K22),COUNT(K$2:K$46)&gt;=4),IF(K22&lt;=QUARTILE(K$2:K$46,1),1,0),0)+IF(AND(ISNUMBER(L22),COUNT(L$2:L$46)&gt;=4),IF(L22&lt;=QUARTILE(L$2:L$46,1),1,0),0)+IF(AND(ISNUMBER(M22),COUNT(M$2:M$46)&gt;=4),IF(M22&lt;=QUARTILE(M$2:M$46,1),1,0),0)+IF(AND(ISNUMBER(N22),COUNT(N$2:N$46)&gt;=4),IF(N22&lt;=QUARTILE(N$2:N$46,1),1,0),0)+IF(AND(ISNUMBER(O22),COUNT(O$2:O$46)&gt;=4),IF(O22&lt;=QUARTILE(O$2:O$46,1),1,0),0)+IF(AND(ISNUMBER(P22),COUNT(P$2:P$46)&gt;=4),IF(P22&lt;=QUARTILE(P$2:P$46,1),1,0),0)+IF(AND(ISNUMBER(Q22),COUNT(Q$2:Q$46)&gt;=4),IF(Q22&lt;=QUARTILE(Q$2:Q$46,1),1,0),0)+IF(AND(ISNUMBER(R22),COUNT(R$2:R$46)&gt;=4),IF(R22&lt;=QUARTILE(R$2:R$46,1),1,0),0)+IF(AND(ISNUMBER(S22),COUNT(S$2:S$46)&gt;=4),IF(S22&lt;=QUARTILE(S$2:S$46,1),1,0),0)+IF(AND(ISNUMBER(T22),COUNT(T$2:T$46)&gt;=4),IF(T22&lt;=QUARTILE(T$2:T$46,1),1,0),0)+IF(AND(ISNUMBER(U22),COUNT(U$2:U$46)&gt;=4),IF(U22&lt;=QUARTILE(U$2:U$46,1),1,0),0)</f>
        <v/>
      </c>
      <c r="X22" s="3">
        <f>IF(W22=0,V22,ROUND(V22/W22,2))</f>
        <v/>
      </c>
      <c r="Y22" s="3">
        <f>IFERROR(IF(VLOOKUP(A22,'Raw Data 5Y'!A:AL,38,FALSE)="","none",VLOOKUP(A22,'Raw Data 5Y'!A:AL,38,FALSE)),"none")</f>
        <v/>
      </c>
      <c r="Z22" s="4" t="inlineStr">
        <is>
          <t>Source</t>
        </is>
      </c>
    </row>
    <row r="23">
      <c r="A23">
        <f>'Raw Data 5Y'!A8</f>
        <v/>
      </c>
      <c r="B23" s="3">
        <f>IFERROR((('Raw Data 5Y'!C8/'Raw Data 5Y'!B8)^(1/'Raw Data 5Y'!D8)-1)*100,"")</f>
        <v/>
      </c>
      <c r="C23" s="3">
        <f>'Raw Data 5Y'!E8</f>
        <v/>
      </c>
      <c r="D23" s="3">
        <f>INT('Raw Data 5Y'!D8)</f>
        <v/>
      </c>
      <c r="E23" s="3">
        <f>IFERROR(AVERAGE(F23:U23),"")</f>
        <v/>
      </c>
      <c r="F23" s="3">
        <f>IFERROR((('Raw Data 5Y'!G8/'Raw Data 5Y'!F8)^(1/5)-1)*100,"")</f>
        <v/>
      </c>
      <c r="G23" s="3">
        <f>IFERROR((('Raw Data 5Y'!I8/'Raw Data 5Y'!H8)^(1/5)-1)*100,"")</f>
        <v/>
      </c>
      <c r="H23" s="3">
        <f>IFERROR((('Raw Data 5Y'!K8/'Raw Data 5Y'!J8)^(1/5)-1)*100,"")</f>
        <v/>
      </c>
      <c r="I23" s="3">
        <f>IFERROR((('Raw Data 5Y'!M8/'Raw Data 5Y'!L8)^(1/5)-1)*100,"")</f>
        <v/>
      </c>
      <c r="J23" s="3">
        <f>IFERROR((('Raw Data 5Y'!O8/'Raw Data 5Y'!N8)^(1/5)-1)*100,"")</f>
        <v/>
      </c>
      <c r="K23" s="3">
        <f>IFERROR((('Raw Data 5Y'!Q8/'Raw Data 5Y'!P8)^(1/5)-1)*100,"")</f>
        <v/>
      </c>
      <c r="L23" s="3">
        <f>IFERROR((('Raw Data 5Y'!S8/'Raw Data 5Y'!R8)^(1/5)-1)*100,"")</f>
        <v/>
      </c>
      <c r="M23" s="3">
        <f>IFERROR((('Raw Data 5Y'!U8/'Raw Data 5Y'!T8)^(1/5)-1)*100,"")</f>
        <v/>
      </c>
      <c r="N23" s="3">
        <f>IFERROR((('Raw Data 5Y'!W8/'Raw Data 5Y'!V8)^(1/5)-1)*100,"")</f>
        <v/>
      </c>
      <c r="O23" s="3">
        <f>IFERROR((('Raw Data 5Y'!Y8/'Raw Data 5Y'!X8)^(1/5)-1)*100,"")</f>
        <v/>
      </c>
      <c r="P23" s="3">
        <f>IFERROR((('Raw Data 5Y'!AA8/'Raw Data 5Y'!Z8)^(1/5)-1)*100,"")</f>
        <v/>
      </c>
      <c r="Q23" s="3">
        <f>IFERROR((('Raw Data 5Y'!AC8/'Raw Data 5Y'!AB8)^(1/5)-1)*100,"")</f>
        <v/>
      </c>
      <c r="R23" s="3">
        <f>IFERROR((('Raw Data 5Y'!AE8/'Raw Data 5Y'!AD8)^(1/5)-1)*100,"")</f>
        <v/>
      </c>
      <c r="S23" s="3">
        <f>IFERROR((('Raw Data 5Y'!AG8/'Raw Data 5Y'!AF8)^(1/5)-1)*100,"")</f>
        <v/>
      </c>
      <c r="T23" s="3">
        <f>IFERROR((('Raw Data 5Y'!AI8/'Raw Data 5Y'!AH8)^(1/5)-1)*100,"")</f>
        <v/>
      </c>
      <c r="U23" s="3">
        <f>IFERROR((('Raw Data 5Y'!AK8/'Raw Data 5Y'!AJ8)^(1/5)-1)*100,"")</f>
        <v/>
      </c>
      <c r="V23" s="3">
        <f>IF(AND(ISNUMBER(F23),COUNT(F$2:F$46)&gt;=4),IF(F23&gt;=QUARTILE(F$2:F$46,3),1,0),0)+IF(AND(ISNUMBER(G23),COUNT(G$2:G$46)&gt;=4),IF(G23&gt;=QUARTILE(G$2:G$46,3),1,0),0)+IF(AND(ISNUMBER(H23),COUNT(H$2:H$46)&gt;=4),IF(H23&gt;=QUARTILE(H$2:H$46,3),1,0),0)+IF(AND(ISNUMBER(I23),COUNT(I$2:I$46)&gt;=4),IF(I23&gt;=QUARTILE(I$2:I$46,3),1,0),0)+IF(AND(ISNUMBER(J23),COUNT(J$2:J$46)&gt;=4),IF(J23&gt;=QUARTILE(J$2:J$46,3),1,0),0)+IF(AND(ISNUMBER(K23),COUNT(K$2:K$46)&gt;=4),IF(K23&gt;=QUARTILE(K$2:K$46,3),1,0),0)+IF(AND(ISNUMBER(L23),COUNT(L$2:L$46)&gt;=4),IF(L23&gt;=QUARTILE(L$2:L$46,3),1,0),0)+IF(AND(ISNUMBER(M23),COUNT(M$2:M$46)&gt;=4),IF(M23&gt;=QUARTILE(M$2:M$46,3),1,0),0)+IF(AND(ISNUMBER(N23),COUNT(N$2:N$46)&gt;=4),IF(N23&gt;=QUARTILE(N$2:N$46,3),1,0),0)+IF(AND(ISNUMBER(O23),COUNT(O$2:O$46)&gt;=4),IF(O23&gt;=QUARTILE(O$2:O$46,3),1,0),0)+IF(AND(ISNUMBER(P23),COUNT(P$2:P$46)&gt;=4),IF(P23&gt;=QUARTILE(P$2:P$46,3),1,0),0)+IF(AND(ISNUMBER(Q23),COUNT(Q$2:Q$46)&gt;=4),IF(Q23&gt;=QUARTILE(Q$2:Q$46,3),1,0),0)+IF(AND(ISNUMBER(R23),COUNT(R$2:R$46)&gt;=4),IF(R23&gt;=QUARTILE(R$2:R$46,3),1,0),0)+IF(AND(ISNUMBER(S23),COUNT(S$2:S$46)&gt;=4),IF(S23&gt;=QUARTILE(S$2:S$46,3),1,0),0)+IF(AND(ISNUMBER(T23),COUNT(T$2:T$46)&gt;=4),IF(T23&gt;=QUARTILE(T$2:T$46,3),1,0),0)+IF(AND(ISNUMBER(U23),COUNT(U$2:U$46)&gt;=4),IF(U23&gt;=QUARTILE(U$2:U$46,3),1,0),0)</f>
        <v/>
      </c>
      <c r="W23" s="3">
        <f>IF(AND(ISNUMBER(F23),COUNT(F$2:F$46)&gt;=4),IF(F23&lt;=QUARTILE(F$2:F$46,1),1,0),0)+IF(AND(ISNUMBER(G23),COUNT(G$2:G$46)&gt;=4),IF(G23&lt;=QUARTILE(G$2:G$46,1),1,0),0)+IF(AND(ISNUMBER(H23),COUNT(H$2:H$46)&gt;=4),IF(H23&lt;=QUARTILE(H$2:H$46,1),1,0),0)+IF(AND(ISNUMBER(I23),COUNT(I$2:I$46)&gt;=4),IF(I23&lt;=QUARTILE(I$2:I$46,1),1,0),0)+IF(AND(ISNUMBER(J23),COUNT(J$2:J$46)&gt;=4),IF(J23&lt;=QUARTILE(J$2:J$46,1),1,0),0)+IF(AND(ISNUMBER(K23),COUNT(K$2:K$46)&gt;=4),IF(K23&lt;=QUARTILE(K$2:K$46,1),1,0),0)+IF(AND(ISNUMBER(L23),COUNT(L$2:L$46)&gt;=4),IF(L23&lt;=QUARTILE(L$2:L$46,1),1,0),0)+IF(AND(ISNUMBER(M23),COUNT(M$2:M$46)&gt;=4),IF(M23&lt;=QUARTILE(M$2:M$46,1),1,0),0)+IF(AND(ISNUMBER(N23),COUNT(N$2:N$46)&gt;=4),IF(N23&lt;=QUARTILE(N$2:N$46,1),1,0),0)+IF(AND(ISNUMBER(O23),COUNT(O$2:O$46)&gt;=4),IF(O23&lt;=QUARTILE(O$2:O$46,1),1,0),0)+IF(AND(ISNUMBER(P23),COUNT(P$2:P$46)&gt;=4),IF(P23&lt;=QUARTILE(P$2:P$46,1),1,0),0)+IF(AND(ISNUMBER(Q23),COUNT(Q$2:Q$46)&gt;=4),IF(Q23&lt;=QUARTILE(Q$2:Q$46,1),1,0),0)+IF(AND(ISNUMBER(R23),COUNT(R$2:R$46)&gt;=4),IF(R23&lt;=QUARTILE(R$2:R$46,1),1,0),0)+IF(AND(ISNUMBER(S23),COUNT(S$2:S$46)&gt;=4),IF(S23&lt;=QUARTILE(S$2:S$46,1),1,0),0)+IF(AND(ISNUMBER(T23),COUNT(T$2:T$46)&gt;=4),IF(T23&lt;=QUARTILE(T$2:T$46,1),1,0),0)+IF(AND(ISNUMBER(U23),COUNT(U$2:U$46)&gt;=4),IF(U23&lt;=QUARTILE(U$2:U$46,1),1,0),0)</f>
        <v/>
      </c>
      <c r="X23" s="3">
        <f>IF(W23=0,V23,ROUND(V23/W23,2))</f>
        <v/>
      </c>
      <c r="Y23" s="3">
        <f>IFERROR(IF(VLOOKUP(A23,'Raw Data 5Y'!A:AL,38,FALSE)="","none",VLOOKUP(A23,'Raw Data 5Y'!A:AL,38,FALSE)),"none")</f>
        <v/>
      </c>
      <c r="Z23" s="4" t="inlineStr">
        <is>
          <t>Source</t>
        </is>
      </c>
    </row>
    <row r="24">
      <c r="A24">
        <f>'Raw Data 5Y'!A19</f>
        <v/>
      </c>
      <c r="B24" s="3">
        <f>IFERROR((('Raw Data 5Y'!C19/'Raw Data 5Y'!B19)^(1/'Raw Data 5Y'!D19)-1)*100,"")</f>
        <v/>
      </c>
      <c r="C24" s="3">
        <f>'Raw Data 5Y'!E19</f>
        <v/>
      </c>
      <c r="D24" s="3">
        <f>INT('Raw Data 5Y'!D19)</f>
        <v/>
      </c>
      <c r="E24" s="3">
        <f>IFERROR(AVERAGE(F24:U24),"")</f>
        <v/>
      </c>
      <c r="F24" s="3">
        <f>IFERROR((('Raw Data 5Y'!G19/'Raw Data 5Y'!F19)^(1/5)-1)*100,"")</f>
        <v/>
      </c>
      <c r="G24" s="3">
        <f>IFERROR((('Raw Data 5Y'!I19/'Raw Data 5Y'!H19)^(1/5)-1)*100,"")</f>
        <v/>
      </c>
      <c r="H24" s="3">
        <f>IFERROR((('Raw Data 5Y'!K19/'Raw Data 5Y'!J19)^(1/5)-1)*100,"")</f>
        <v/>
      </c>
      <c r="I24" s="3">
        <f>IFERROR((('Raw Data 5Y'!M19/'Raw Data 5Y'!L19)^(1/5)-1)*100,"")</f>
        <v/>
      </c>
      <c r="J24" s="3">
        <f>IFERROR((('Raw Data 5Y'!O19/'Raw Data 5Y'!N19)^(1/5)-1)*100,"")</f>
        <v/>
      </c>
      <c r="K24" s="3">
        <f>IFERROR((('Raw Data 5Y'!Q19/'Raw Data 5Y'!P19)^(1/5)-1)*100,"")</f>
        <v/>
      </c>
      <c r="L24" s="3">
        <f>IFERROR((('Raw Data 5Y'!S19/'Raw Data 5Y'!R19)^(1/5)-1)*100,"")</f>
        <v/>
      </c>
      <c r="M24" s="3">
        <f>IFERROR((('Raw Data 5Y'!U19/'Raw Data 5Y'!T19)^(1/5)-1)*100,"")</f>
        <v/>
      </c>
      <c r="N24" s="3">
        <f>IFERROR((('Raw Data 5Y'!W19/'Raw Data 5Y'!V19)^(1/5)-1)*100,"")</f>
        <v/>
      </c>
      <c r="O24" s="3">
        <f>IFERROR((('Raw Data 5Y'!Y19/'Raw Data 5Y'!X19)^(1/5)-1)*100,"")</f>
        <v/>
      </c>
      <c r="P24" s="3">
        <f>IFERROR((('Raw Data 5Y'!AA19/'Raw Data 5Y'!Z19)^(1/5)-1)*100,"")</f>
        <v/>
      </c>
      <c r="Q24" s="3">
        <f>IFERROR((('Raw Data 5Y'!AC19/'Raw Data 5Y'!AB19)^(1/5)-1)*100,"")</f>
        <v/>
      </c>
      <c r="R24" s="3">
        <f>IFERROR((('Raw Data 5Y'!AE19/'Raw Data 5Y'!AD19)^(1/5)-1)*100,"")</f>
        <v/>
      </c>
      <c r="S24" s="3">
        <f>IFERROR((('Raw Data 5Y'!AG19/'Raw Data 5Y'!AF19)^(1/5)-1)*100,"")</f>
        <v/>
      </c>
      <c r="T24" s="3">
        <f>IFERROR((('Raw Data 5Y'!AI19/'Raw Data 5Y'!AH19)^(1/5)-1)*100,"")</f>
        <v/>
      </c>
      <c r="U24" s="3">
        <f>IFERROR((('Raw Data 5Y'!AK19/'Raw Data 5Y'!AJ19)^(1/5)-1)*100,"")</f>
        <v/>
      </c>
      <c r="V24" s="3">
        <f>IF(AND(ISNUMBER(F24),COUNT(F$2:F$46)&gt;=4),IF(F24&gt;=QUARTILE(F$2:F$46,3),1,0),0)+IF(AND(ISNUMBER(G24),COUNT(G$2:G$46)&gt;=4),IF(G24&gt;=QUARTILE(G$2:G$46,3),1,0),0)+IF(AND(ISNUMBER(H24),COUNT(H$2:H$46)&gt;=4),IF(H24&gt;=QUARTILE(H$2:H$46,3),1,0),0)+IF(AND(ISNUMBER(I24),COUNT(I$2:I$46)&gt;=4),IF(I24&gt;=QUARTILE(I$2:I$46,3),1,0),0)+IF(AND(ISNUMBER(J24),COUNT(J$2:J$46)&gt;=4),IF(J24&gt;=QUARTILE(J$2:J$46,3),1,0),0)+IF(AND(ISNUMBER(K24),COUNT(K$2:K$46)&gt;=4),IF(K24&gt;=QUARTILE(K$2:K$46,3),1,0),0)+IF(AND(ISNUMBER(L24),COUNT(L$2:L$46)&gt;=4),IF(L24&gt;=QUARTILE(L$2:L$46,3),1,0),0)+IF(AND(ISNUMBER(M24),COUNT(M$2:M$46)&gt;=4),IF(M24&gt;=QUARTILE(M$2:M$46,3),1,0),0)+IF(AND(ISNUMBER(N24),COUNT(N$2:N$46)&gt;=4),IF(N24&gt;=QUARTILE(N$2:N$46,3),1,0),0)+IF(AND(ISNUMBER(O24),COUNT(O$2:O$46)&gt;=4),IF(O24&gt;=QUARTILE(O$2:O$46,3),1,0),0)+IF(AND(ISNUMBER(P24),COUNT(P$2:P$46)&gt;=4),IF(P24&gt;=QUARTILE(P$2:P$46,3),1,0),0)+IF(AND(ISNUMBER(Q24),COUNT(Q$2:Q$46)&gt;=4),IF(Q24&gt;=QUARTILE(Q$2:Q$46,3),1,0),0)+IF(AND(ISNUMBER(R24),COUNT(R$2:R$46)&gt;=4),IF(R24&gt;=QUARTILE(R$2:R$46,3),1,0),0)+IF(AND(ISNUMBER(S24),COUNT(S$2:S$46)&gt;=4),IF(S24&gt;=QUARTILE(S$2:S$46,3),1,0),0)+IF(AND(ISNUMBER(T24),COUNT(T$2:T$46)&gt;=4),IF(T24&gt;=QUARTILE(T$2:T$46,3),1,0),0)+IF(AND(ISNUMBER(U24),COUNT(U$2:U$46)&gt;=4),IF(U24&gt;=QUARTILE(U$2:U$46,3),1,0),0)</f>
        <v/>
      </c>
      <c r="W24" s="3">
        <f>IF(AND(ISNUMBER(F24),COUNT(F$2:F$46)&gt;=4),IF(F24&lt;=QUARTILE(F$2:F$46,1),1,0),0)+IF(AND(ISNUMBER(G24),COUNT(G$2:G$46)&gt;=4),IF(G24&lt;=QUARTILE(G$2:G$46,1),1,0),0)+IF(AND(ISNUMBER(H24),COUNT(H$2:H$46)&gt;=4),IF(H24&lt;=QUARTILE(H$2:H$46,1),1,0),0)+IF(AND(ISNUMBER(I24),COUNT(I$2:I$46)&gt;=4),IF(I24&lt;=QUARTILE(I$2:I$46,1),1,0),0)+IF(AND(ISNUMBER(J24),COUNT(J$2:J$46)&gt;=4),IF(J24&lt;=QUARTILE(J$2:J$46,1),1,0),0)+IF(AND(ISNUMBER(K24),COUNT(K$2:K$46)&gt;=4),IF(K24&lt;=QUARTILE(K$2:K$46,1),1,0),0)+IF(AND(ISNUMBER(L24),COUNT(L$2:L$46)&gt;=4),IF(L24&lt;=QUARTILE(L$2:L$46,1),1,0),0)+IF(AND(ISNUMBER(M24),COUNT(M$2:M$46)&gt;=4),IF(M24&lt;=QUARTILE(M$2:M$46,1),1,0),0)+IF(AND(ISNUMBER(N24),COUNT(N$2:N$46)&gt;=4),IF(N24&lt;=QUARTILE(N$2:N$46,1),1,0),0)+IF(AND(ISNUMBER(O24),COUNT(O$2:O$46)&gt;=4),IF(O24&lt;=QUARTILE(O$2:O$46,1),1,0),0)+IF(AND(ISNUMBER(P24),COUNT(P$2:P$46)&gt;=4),IF(P24&lt;=QUARTILE(P$2:P$46,1),1,0),0)+IF(AND(ISNUMBER(Q24),COUNT(Q$2:Q$46)&gt;=4),IF(Q24&lt;=QUARTILE(Q$2:Q$46,1),1,0),0)+IF(AND(ISNUMBER(R24),COUNT(R$2:R$46)&gt;=4),IF(R24&lt;=QUARTILE(R$2:R$46,1),1,0),0)+IF(AND(ISNUMBER(S24),COUNT(S$2:S$46)&gt;=4),IF(S24&lt;=QUARTILE(S$2:S$46,1),1,0),0)+IF(AND(ISNUMBER(T24),COUNT(T$2:T$46)&gt;=4),IF(T24&lt;=QUARTILE(T$2:T$46,1),1,0),0)+IF(AND(ISNUMBER(U24),COUNT(U$2:U$46)&gt;=4),IF(U24&lt;=QUARTILE(U$2:U$46,1),1,0),0)</f>
        <v/>
      </c>
      <c r="X24" s="3">
        <f>IF(W24=0,V24,ROUND(V24/W24,2))</f>
        <v/>
      </c>
      <c r="Y24" s="3">
        <f>IFERROR(IF(VLOOKUP(A24,'Raw Data 5Y'!A:AL,38,FALSE)="","none",VLOOKUP(A24,'Raw Data 5Y'!A:AL,38,FALSE)),"none")</f>
        <v/>
      </c>
      <c r="Z24" s="4" t="inlineStr">
        <is>
          <t>Source</t>
        </is>
      </c>
    </row>
    <row r="25">
      <c r="A25">
        <f>'Raw Data 5Y'!A26</f>
        <v/>
      </c>
      <c r="B25" s="3">
        <f>IFERROR((('Raw Data 5Y'!C26/'Raw Data 5Y'!B26)^(1/'Raw Data 5Y'!D26)-1)*100,"")</f>
        <v/>
      </c>
      <c r="C25" s="3">
        <f>'Raw Data 5Y'!E26</f>
        <v/>
      </c>
      <c r="D25" s="3">
        <f>INT('Raw Data 5Y'!D26)</f>
        <v/>
      </c>
      <c r="E25" s="3">
        <f>IFERROR(AVERAGE(F25:U25),"")</f>
        <v/>
      </c>
      <c r="F25" s="3">
        <f>IFERROR((('Raw Data 5Y'!G26/'Raw Data 5Y'!F26)^(1/5)-1)*100,"")</f>
        <v/>
      </c>
      <c r="G25" s="3">
        <f>IFERROR((('Raw Data 5Y'!I26/'Raw Data 5Y'!H26)^(1/5)-1)*100,"")</f>
        <v/>
      </c>
      <c r="H25" s="3">
        <f>IFERROR((('Raw Data 5Y'!K26/'Raw Data 5Y'!J26)^(1/5)-1)*100,"")</f>
        <v/>
      </c>
      <c r="I25" s="3">
        <f>IFERROR((('Raw Data 5Y'!M26/'Raw Data 5Y'!L26)^(1/5)-1)*100,"")</f>
        <v/>
      </c>
      <c r="J25" s="3">
        <f>IFERROR((('Raw Data 5Y'!O26/'Raw Data 5Y'!N26)^(1/5)-1)*100,"")</f>
        <v/>
      </c>
      <c r="K25" s="3">
        <f>IFERROR((('Raw Data 5Y'!Q26/'Raw Data 5Y'!P26)^(1/5)-1)*100,"")</f>
        <v/>
      </c>
      <c r="L25" s="3">
        <f>IFERROR((('Raw Data 5Y'!S26/'Raw Data 5Y'!R26)^(1/5)-1)*100,"")</f>
        <v/>
      </c>
      <c r="M25" s="3">
        <f>IFERROR((('Raw Data 5Y'!U26/'Raw Data 5Y'!T26)^(1/5)-1)*100,"")</f>
        <v/>
      </c>
      <c r="N25" s="3">
        <f>IFERROR((('Raw Data 5Y'!W26/'Raw Data 5Y'!V26)^(1/5)-1)*100,"")</f>
        <v/>
      </c>
      <c r="O25" s="3">
        <f>IFERROR((('Raw Data 5Y'!Y26/'Raw Data 5Y'!X26)^(1/5)-1)*100,"")</f>
        <v/>
      </c>
      <c r="P25" s="3">
        <f>IFERROR((('Raw Data 5Y'!AA26/'Raw Data 5Y'!Z26)^(1/5)-1)*100,"")</f>
        <v/>
      </c>
      <c r="Q25" s="3">
        <f>IFERROR((('Raw Data 5Y'!AC26/'Raw Data 5Y'!AB26)^(1/5)-1)*100,"")</f>
        <v/>
      </c>
      <c r="R25" s="3">
        <f>IFERROR((('Raw Data 5Y'!AE26/'Raw Data 5Y'!AD26)^(1/5)-1)*100,"")</f>
        <v/>
      </c>
      <c r="S25" s="3">
        <f>IFERROR((('Raw Data 5Y'!AG26/'Raw Data 5Y'!AF26)^(1/5)-1)*100,"")</f>
        <v/>
      </c>
      <c r="T25" s="3">
        <f>IFERROR((('Raw Data 5Y'!AI26/'Raw Data 5Y'!AH26)^(1/5)-1)*100,"")</f>
        <v/>
      </c>
      <c r="U25" s="3">
        <f>IFERROR((('Raw Data 5Y'!AK26/'Raw Data 5Y'!AJ26)^(1/5)-1)*100,"")</f>
        <v/>
      </c>
      <c r="V25" s="3">
        <f>IF(AND(ISNUMBER(F25),COUNT(F$2:F$46)&gt;=4),IF(F25&gt;=QUARTILE(F$2:F$46,3),1,0),0)+IF(AND(ISNUMBER(G25),COUNT(G$2:G$46)&gt;=4),IF(G25&gt;=QUARTILE(G$2:G$46,3),1,0),0)+IF(AND(ISNUMBER(H25),COUNT(H$2:H$46)&gt;=4),IF(H25&gt;=QUARTILE(H$2:H$46,3),1,0),0)+IF(AND(ISNUMBER(I25),COUNT(I$2:I$46)&gt;=4),IF(I25&gt;=QUARTILE(I$2:I$46,3),1,0),0)+IF(AND(ISNUMBER(J25),COUNT(J$2:J$46)&gt;=4),IF(J25&gt;=QUARTILE(J$2:J$46,3),1,0),0)+IF(AND(ISNUMBER(K25),COUNT(K$2:K$46)&gt;=4),IF(K25&gt;=QUARTILE(K$2:K$46,3),1,0),0)+IF(AND(ISNUMBER(L25),COUNT(L$2:L$46)&gt;=4),IF(L25&gt;=QUARTILE(L$2:L$46,3),1,0),0)+IF(AND(ISNUMBER(M25),COUNT(M$2:M$46)&gt;=4),IF(M25&gt;=QUARTILE(M$2:M$46,3),1,0),0)+IF(AND(ISNUMBER(N25),COUNT(N$2:N$46)&gt;=4),IF(N25&gt;=QUARTILE(N$2:N$46,3),1,0),0)+IF(AND(ISNUMBER(O25),COUNT(O$2:O$46)&gt;=4),IF(O25&gt;=QUARTILE(O$2:O$46,3),1,0),0)+IF(AND(ISNUMBER(P25),COUNT(P$2:P$46)&gt;=4),IF(P25&gt;=QUARTILE(P$2:P$46,3),1,0),0)+IF(AND(ISNUMBER(Q25),COUNT(Q$2:Q$46)&gt;=4),IF(Q25&gt;=QUARTILE(Q$2:Q$46,3),1,0),0)+IF(AND(ISNUMBER(R25),COUNT(R$2:R$46)&gt;=4),IF(R25&gt;=QUARTILE(R$2:R$46,3),1,0),0)+IF(AND(ISNUMBER(S25),COUNT(S$2:S$46)&gt;=4),IF(S25&gt;=QUARTILE(S$2:S$46,3),1,0),0)+IF(AND(ISNUMBER(T25),COUNT(T$2:T$46)&gt;=4),IF(T25&gt;=QUARTILE(T$2:T$46,3),1,0),0)+IF(AND(ISNUMBER(U25),COUNT(U$2:U$46)&gt;=4),IF(U25&gt;=QUARTILE(U$2:U$46,3),1,0),0)</f>
        <v/>
      </c>
      <c r="W25" s="3">
        <f>IF(AND(ISNUMBER(F25),COUNT(F$2:F$46)&gt;=4),IF(F25&lt;=QUARTILE(F$2:F$46,1),1,0),0)+IF(AND(ISNUMBER(G25),COUNT(G$2:G$46)&gt;=4),IF(G25&lt;=QUARTILE(G$2:G$46,1),1,0),0)+IF(AND(ISNUMBER(H25),COUNT(H$2:H$46)&gt;=4),IF(H25&lt;=QUARTILE(H$2:H$46,1),1,0),0)+IF(AND(ISNUMBER(I25),COUNT(I$2:I$46)&gt;=4),IF(I25&lt;=QUARTILE(I$2:I$46,1),1,0),0)+IF(AND(ISNUMBER(J25),COUNT(J$2:J$46)&gt;=4),IF(J25&lt;=QUARTILE(J$2:J$46,1),1,0),0)+IF(AND(ISNUMBER(K25),COUNT(K$2:K$46)&gt;=4),IF(K25&lt;=QUARTILE(K$2:K$46,1),1,0),0)+IF(AND(ISNUMBER(L25),COUNT(L$2:L$46)&gt;=4),IF(L25&lt;=QUARTILE(L$2:L$46,1),1,0),0)+IF(AND(ISNUMBER(M25),COUNT(M$2:M$46)&gt;=4),IF(M25&lt;=QUARTILE(M$2:M$46,1),1,0),0)+IF(AND(ISNUMBER(N25),COUNT(N$2:N$46)&gt;=4),IF(N25&lt;=QUARTILE(N$2:N$46,1),1,0),0)+IF(AND(ISNUMBER(O25),COUNT(O$2:O$46)&gt;=4),IF(O25&lt;=QUARTILE(O$2:O$46,1),1,0),0)+IF(AND(ISNUMBER(P25),COUNT(P$2:P$46)&gt;=4),IF(P25&lt;=QUARTILE(P$2:P$46,1),1,0),0)+IF(AND(ISNUMBER(Q25),COUNT(Q$2:Q$46)&gt;=4),IF(Q25&lt;=QUARTILE(Q$2:Q$46,1),1,0),0)+IF(AND(ISNUMBER(R25),COUNT(R$2:R$46)&gt;=4),IF(R25&lt;=QUARTILE(R$2:R$46,1),1,0),0)+IF(AND(ISNUMBER(S25),COUNT(S$2:S$46)&gt;=4),IF(S25&lt;=QUARTILE(S$2:S$46,1),1,0),0)+IF(AND(ISNUMBER(T25),COUNT(T$2:T$46)&gt;=4),IF(T25&lt;=QUARTILE(T$2:T$46,1),1,0),0)+IF(AND(ISNUMBER(U25),COUNT(U$2:U$46)&gt;=4),IF(U25&lt;=QUARTILE(U$2:U$46,1),1,0),0)</f>
        <v/>
      </c>
      <c r="X25" s="3">
        <f>IF(W25=0,V25,ROUND(V25/W25,2))</f>
        <v/>
      </c>
      <c r="Y25" s="3">
        <f>IFERROR(IF(VLOOKUP(A25,'Raw Data 5Y'!A:AL,38,FALSE)="","none",VLOOKUP(A25,'Raw Data 5Y'!A:AL,38,FALSE)),"none")</f>
        <v/>
      </c>
      <c r="Z25" s="4" t="inlineStr">
        <is>
          <t>Source</t>
        </is>
      </c>
    </row>
    <row r="26">
      <c r="A26">
        <f>'Raw Data 5Y'!A44</f>
        <v/>
      </c>
      <c r="B26" s="3">
        <f>IFERROR((('Raw Data 5Y'!C44/'Raw Data 5Y'!B44)^(1/'Raw Data 5Y'!D44)-1)*100,"")</f>
        <v/>
      </c>
      <c r="C26" s="3">
        <f>'Raw Data 5Y'!E44</f>
        <v/>
      </c>
      <c r="D26" s="3">
        <f>INT('Raw Data 5Y'!D44)</f>
        <v/>
      </c>
      <c r="E26" s="3">
        <f>IFERROR(AVERAGE(F26:U26),"")</f>
        <v/>
      </c>
      <c r="F26" s="3">
        <f>IFERROR((('Raw Data 5Y'!G44/'Raw Data 5Y'!F44)^(1/5)-1)*100,"")</f>
        <v/>
      </c>
      <c r="G26" s="3">
        <f>IFERROR((('Raw Data 5Y'!I44/'Raw Data 5Y'!H44)^(1/5)-1)*100,"")</f>
        <v/>
      </c>
      <c r="H26" s="3">
        <f>IFERROR((('Raw Data 5Y'!K44/'Raw Data 5Y'!J44)^(1/5)-1)*100,"")</f>
        <v/>
      </c>
      <c r="I26" s="3">
        <f>IFERROR((('Raw Data 5Y'!M44/'Raw Data 5Y'!L44)^(1/5)-1)*100,"")</f>
        <v/>
      </c>
      <c r="J26" s="3">
        <f>IFERROR((('Raw Data 5Y'!O44/'Raw Data 5Y'!N44)^(1/5)-1)*100,"")</f>
        <v/>
      </c>
      <c r="K26" s="3">
        <f>IFERROR((('Raw Data 5Y'!Q44/'Raw Data 5Y'!P44)^(1/5)-1)*100,"")</f>
        <v/>
      </c>
      <c r="L26" s="3">
        <f>IFERROR((('Raw Data 5Y'!S44/'Raw Data 5Y'!R44)^(1/5)-1)*100,"")</f>
        <v/>
      </c>
      <c r="M26" s="3">
        <f>IFERROR((('Raw Data 5Y'!U44/'Raw Data 5Y'!T44)^(1/5)-1)*100,"")</f>
        <v/>
      </c>
      <c r="N26" s="3">
        <f>IFERROR((('Raw Data 5Y'!W44/'Raw Data 5Y'!V44)^(1/5)-1)*100,"")</f>
        <v/>
      </c>
      <c r="O26" s="3">
        <f>IFERROR((('Raw Data 5Y'!Y44/'Raw Data 5Y'!X44)^(1/5)-1)*100,"")</f>
        <v/>
      </c>
      <c r="P26" s="3">
        <f>IFERROR((('Raw Data 5Y'!AA44/'Raw Data 5Y'!Z44)^(1/5)-1)*100,"")</f>
        <v/>
      </c>
      <c r="Q26" s="3">
        <f>IFERROR((('Raw Data 5Y'!AC44/'Raw Data 5Y'!AB44)^(1/5)-1)*100,"")</f>
        <v/>
      </c>
      <c r="R26" s="3">
        <f>IFERROR((('Raw Data 5Y'!AE44/'Raw Data 5Y'!AD44)^(1/5)-1)*100,"")</f>
        <v/>
      </c>
      <c r="S26" s="3">
        <f>IFERROR((('Raw Data 5Y'!AG44/'Raw Data 5Y'!AF44)^(1/5)-1)*100,"")</f>
        <v/>
      </c>
      <c r="T26" s="3">
        <f>IFERROR((('Raw Data 5Y'!AI44/'Raw Data 5Y'!AH44)^(1/5)-1)*100,"")</f>
        <v/>
      </c>
      <c r="U26" s="3">
        <f>IFERROR((('Raw Data 5Y'!AK44/'Raw Data 5Y'!AJ44)^(1/5)-1)*100,"")</f>
        <v/>
      </c>
      <c r="V26" s="3">
        <f>IF(AND(ISNUMBER(F26),COUNT(F$2:F$46)&gt;=4),IF(F26&gt;=QUARTILE(F$2:F$46,3),1,0),0)+IF(AND(ISNUMBER(G26),COUNT(G$2:G$46)&gt;=4),IF(G26&gt;=QUARTILE(G$2:G$46,3),1,0),0)+IF(AND(ISNUMBER(H26),COUNT(H$2:H$46)&gt;=4),IF(H26&gt;=QUARTILE(H$2:H$46,3),1,0),0)+IF(AND(ISNUMBER(I26),COUNT(I$2:I$46)&gt;=4),IF(I26&gt;=QUARTILE(I$2:I$46,3),1,0),0)+IF(AND(ISNUMBER(J26),COUNT(J$2:J$46)&gt;=4),IF(J26&gt;=QUARTILE(J$2:J$46,3),1,0),0)+IF(AND(ISNUMBER(K26),COUNT(K$2:K$46)&gt;=4),IF(K26&gt;=QUARTILE(K$2:K$46,3),1,0),0)+IF(AND(ISNUMBER(L26),COUNT(L$2:L$46)&gt;=4),IF(L26&gt;=QUARTILE(L$2:L$46,3),1,0),0)+IF(AND(ISNUMBER(M26),COUNT(M$2:M$46)&gt;=4),IF(M26&gt;=QUARTILE(M$2:M$46,3),1,0),0)+IF(AND(ISNUMBER(N26),COUNT(N$2:N$46)&gt;=4),IF(N26&gt;=QUARTILE(N$2:N$46,3),1,0),0)+IF(AND(ISNUMBER(O26),COUNT(O$2:O$46)&gt;=4),IF(O26&gt;=QUARTILE(O$2:O$46,3),1,0),0)+IF(AND(ISNUMBER(P26),COUNT(P$2:P$46)&gt;=4),IF(P26&gt;=QUARTILE(P$2:P$46,3),1,0),0)+IF(AND(ISNUMBER(Q26),COUNT(Q$2:Q$46)&gt;=4),IF(Q26&gt;=QUARTILE(Q$2:Q$46,3),1,0),0)+IF(AND(ISNUMBER(R26),COUNT(R$2:R$46)&gt;=4),IF(R26&gt;=QUARTILE(R$2:R$46,3),1,0),0)+IF(AND(ISNUMBER(S26),COUNT(S$2:S$46)&gt;=4),IF(S26&gt;=QUARTILE(S$2:S$46,3),1,0),0)+IF(AND(ISNUMBER(T26),COUNT(T$2:T$46)&gt;=4),IF(T26&gt;=QUARTILE(T$2:T$46,3),1,0),0)+IF(AND(ISNUMBER(U26),COUNT(U$2:U$46)&gt;=4),IF(U26&gt;=QUARTILE(U$2:U$46,3),1,0),0)</f>
        <v/>
      </c>
      <c r="W26" s="3">
        <f>IF(AND(ISNUMBER(F26),COUNT(F$2:F$46)&gt;=4),IF(F26&lt;=QUARTILE(F$2:F$46,1),1,0),0)+IF(AND(ISNUMBER(G26),COUNT(G$2:G$46)&gt;=4),IF(G26&lt;=QUARTILE(G$2:G$46,1),1,0),0)+IF(AND(ISNUMBER(H26),COUNT(H$2:H$46)&gt;=4),IF(H26&lt;=QUARTILE(H$2:H$46,1),1,0),0)+IF(AND(ISNUMBER(I26),COUNT(I$2:I$46)&gt;=4),IF(I26&lt;=QUARTILE(I$2:I$46,1),1,0),0)+IF(AND(ISNUMBER(J26),COUNT(J$2:J$46)&gt;=4),IF(J26&lt;=QUARTILE(J$2:J$46,1),1,0),0)+IF(AND(ISNUMBER(K26),COUNT(K$2:K$46)&gt;=4),IF(K26&lt;=QUARTILE(K$2:K$46,1),1,0),0)+IF(AND(ISNUMBER(L26),COUNT(L$2:L$46)&gt;=4),IF(L26&lt;=QUARTILE(L$2:L$46,1),1,0),0)+IF(AND(ISNUMBER(M26),COUNT(M$2:M$46)&gt;=4),IF(M26&lt;=QUARTILE(M$2:M$46,1),1,0),0)+IF(AND(ISNUMBER(N26),COUNT(N$2:N$46)&gt;=4),IF(N26&lt;=QUARTILE(N$2:N$46,1),1,0),0)+IF(AND(ISNUMBER(O26),COUNT(O$2:O$46)&gt;=4),IF(O26&lt;=QUARTILE(O$2:O$46,1),1,0),0)+IF(AND(ISNUMBER(P26),COUNT(P$2:P$46)&gt;=4),IF(P26&lt;=QUARTILE(P$2:P$46,1),1,0),0)+IF(AND(ISNUMBER(Q26),COUNT(Q$2:Q$46)&gt;=4),IF(Q26&lt;=QUARTILE(Q$2:Q$46,1),1,0),0)+IF(AND(ISNUMBER(R26),COUNT(R$2:R$46)&gt;=4),IF(R26&lt;=QUARTILE(R$2:R$46,1),1,0),0)+IF(AND(ISNUMBER(S26),COUNT(S$2:S$46)&gt;=4),IF(S26&lt;=QUARTILE(S$2:S$46,1),1,0),0)+IF(AND(ISNUMBER(T26),COUNT(T$2:T$46)&gt;=4),IF(T26&lt;=QUARTILE(T$2:T$46,1),1,0),0)+IF(AND(ISNUMBER(U26),COUNT(U$2:U$46)&gt;=4),IF(U26&lt;=QUARTILE(U$2:U$46,1),1,0),0)</f>
        <v/>
      </c>
      <c r="X26" s="3">
        <f>IF(W26=0,V26,ROUND(V26/W26,2))</f>
        <v/>
      </c>
      <c r="Y26" s="3">
        <f>IFERROR(IF(VLOOKUP(A26,'Raw Data 5Y'!A:AL,38,FALSE)="","none",VLOOKUP(A26,'Raw Data 5Y'!A:AL,38,FALSE)),"none")</f>
        <v/>
      </c>
      <c r="Z26" s="4" t="inlineStr">
        <is>
          <t>Source</t>
        </is>
      </c>
    </row>
    <row r="27">
      <c r="A27">
        <f>'Raw Data 5Y'!A31</f>
        <v/>
      </c>
      <c r="B27" s="3">
        <f>IFERROR((('Raw Data 5Y'!C31/'Raw Data 5Y'!B31)^(1/'Raw Data 5Y'!D31)-1)*100,"")</f>
        <v/>
      </c>
      <c r="C27" s="3">
        <f>'Raw Data 5Y'!E31</f>
        <v/>
      </c>
      <c r="D27" s="3">
        <f>INT('Raw Data 5Y'!D31)</f>
        <v/>
      </c>
      <c r="E27" s="3">
        <f>IFERROR(AVERAGE(F27:U27),"")</f>
        <v/>
      </c>
      <c r="F27" s="3">
        <f>IFERROR((('Raw Data 5Y'!G31/'Raw Data 5Y'!F31)^(1/5)-1)*100,"")</f>
        <v/>
      </c>
      <c r="G27" s="3">
        <f>IFERROR((('Raw Data 5Y'!I31/'Raw Data 5Y'!H31)^(1/5)-1)*100,"")</f>
        <v/>
      </c>
      <c r="H27" s="3">
        <f>IFERROR((('Raw Data 5Y'!K31/'Raw Data 5Y'!J31)^(1/5)-1)*100,"")</f>
        <v/>
      </c>
      <c r="I27" s="3">
        <f>IFERROR((('Raw Data 5Y'!M31/'Raw Data 5Y'!L31)^(1/5)-1)*100,"")</f>
        <v/>
      </c>
      <c r="J27" s="3">
        <f>IFERROR((('Raw Data 5Y'!O31/'Raw Data 5Y'!N31)^(1/5)-1)*100,"")</f>
        <v/>
      </c>
      <c r="K27" s="3">
        <f>IFERROR((('Raw Data 5Y'!Q31/'Raw Data 5Y'!P31)^(1/5)-1)*100,"")</f>
        <v/>
      </c>
      <c r="L27" s="3">
        <f>IFERROR((('Raw Data 5Y'!S31/'Raw Data 5Y'!R31)^(1/5)-1)*100,"")</f>
        <v/>
      </c>
      <c r="M27" s="3">
        <f>IFERROR((('Raw Data 5Y'!U31/'Raw Data 5Y'!T31)^(1/5)-1)*100,"")</f>
        <v/>
      </c>
      <c r="N27" s="3">
        <f>IFERROR((('Raw Data 5Y'!W31/'Raw Data 5Y'!V31)^(1/5)-1)*100,"")</f>
        <v/>
      </c>
      <c r="O27" s="3">
        <f>IFERROR((('Raw Data 5Y'!Y31/'Raw Data 5Y'!X31)^(1/5)-1)*100,"")</f>
        <v/>
      </c>
      <c r="P27" s="3">
        <f>IFERROR((('Raw Data 5Y'!AA31/'Raw Data 5Y'!Z31)^(1/5)-1)*100,"")</f>
        <v/>
      </c>
      <c r="Q27" s="3">
        <f>IFERROR((('Raw Data 5Y'!AC31/'Raw Data 5Y'!AB31)^(1/5)-1)*100,"")</f>
        <v/>
      </c>
      <c r="R27" s="3">
        <f>IFERROR((('Raw Data 5Y'!AE31/'Raw Data 5Y'!AD31)^(1/5)-1)*100,"")</f>
        <v/>
      </c>
      <c r="S27" s="3">
        <f>IFERROR((('Raw Data 5Y'!AG31/'Raw Data 5Y'!AF31)^(1/5)-1)*100,"")</f>
        <v/>
      </c>
      <c r="T27" s="3">
        <f>IFERROR((('Raw Data 5Y'!AI31/'Raw Data 5Y'!AH31)^(1/5)-1)*100,"")</f>
        <v/>
      </c>
      <c r="U27" s="3">
        <f>IFERROR((('Raw Data 5Y'!AK31/'Raw Data 5Y'!AJ31)^(1/5)-1)*100,"")</f>
        <v/>
      </c>
      <c r="V27" s="3">
        <f>IF(AND(ISNUMBER(F27),COUNT(F$2:F$46)&gt;=4),IF(F27&gt;=QUARTILE(F$2:F$46,3),1,0),0)+IF(AND(ISNUMBER(G27),COUNT(G$2:G$46)&gt;=4),IF(G27&gt;=QUARTILE(G$2:G$46,3),1,0),0)+IF(AND(ISNUMBER(H27),COUNT(H$2:H$46)&gt;=4),IF(H27&gt;=QUARTILE(H$2:H$46,3),1,0),0)+IF(AND(ISNUMBER(I27),COUNT(I$2:I$46)&gt;=4),IF(I27&gt;=QUARTILE(I$2:I$46,3),1,0),0)+IF(AND(ISNUMBER(J27),COUNT(J$2:J$46)&gt;=4),IF(J27&gt;=QUARTILE(J$2:J$46,3),1,0),0)+IF(AND(ISNUMBER(K27),COUNT(K$2:K$46)&gt;=4),IF(K27&gt;=QUARTILE(K$2:K$46,3),1,0),0)+IF(AND(ISNUMBER(L27),COUNT(L$2:L$46)&gt;=4),IF(L27&gt;=QUARTILE(L$2:L$46,3),1,0),0)+IF(AND(ISNUMBER(M27),COUNT(M$2:M$46)&gt;=4),IF(M27&gt;=QUARTILE(M$2:M$46,3),1,0),0)+IF(AND(ISNUMBER(N27),COUNT(N$2:N$46)&gt;=4),IF(N27&gt;=QUARTILE(N$2:N$46,3),1,0),0)+IF(AND(ISNUMBER(O27),COUNT(O$2:O$46)&gt;=4),IF(O27&gt;=QUARTILE(O$2:O$46,3),1,0),0)+IF(AND(ISNUMBER(P27),COUNT(P$2:P$46)&gt;=4),IF(P27&gt;=QUARTILE(P$2:P$46,3),1,0),0)+IF(AND(ISNUMBER(Q27),COUNT(Q$2:Q$46)&gt;=4),IF(Q27&gt;=QUARTILE(Q$2:Q$46,3),1,0),0)+IF(AND(ISNUMBER(R27),COUNT(R$2:R$46)&gt;=4),IF(R27&gt;=QUARTILE(R$2:R$46,3),1,0),0)+IF(AND(ISNUMBER(S27),COUNT(S$2:S$46)&gt;=4),IF(S27&gt;=QUARTILE(S$2:S$46,3),1,0),0)+IF(AND(ISNUMBER(T27),COUNT(T$2:T$46)&gt;=4),IF(T27&gt;=QUARTILE(T$2:T$46,3),1,0),0)+IF(AND(ISNUMBER(U27),COUNT(U$2:U$46)&gt;=4),IF(U27&gt;=QUARTILE(U$2:U$46,3),1,0),0)</f>
        <v/>
      </c>
      <c r="W27" s="3">
        <f>IF(AND(ISNUMBER(F27),COUNT(F$2:F$46)&gt;=4),IF(F27&lt;=QUARTILE(F$2:F$46,1),1,0),0)+IF(AND(ISNUMBER(G27),COUNT(G$2:G$46)&gt;=4),IF(G27&lt;=QUARTILE(G$2:G$46,1),1,0),0)+IF(AND(ISNUMBER(H27),COUNT(H$2:H$46)&gt;=4),IF(H27&lt;=QUARTILE(H$2:H$46,1),1,0),0)+IF(AND(ISNUMBER(I27),COUNT(I$2:I$46)&gt;=4),IF(I27&lt;=QUARTILE(I$2:I$46,1),1,0),0)+IF(AND(ISNUMBER(J27),COUNT(J$2:J$46)&gt;=4),IF(J27&lt;=QUARTILE(J$2:J$46,1),1,0),0)+IF(AND(ISNUMBER(K27),COUNT(K$2:K$46)&gt;=4),IF(K27&lt;=QUARTILE(K$2:K$46,1),1,0),0)+IF(AND(ISNUMBER(L27),COUNT(L$2:L$46)&gt;=4),IF(L27&lt;=QUARTILE(L$2:L$46,1),1,0),0)+IF(AND(ISNUMBER(M27),COUNT(M$2:M$46)&gt;=4),IF(M27&lt;=QUARTILE(M$2:M$46,1),1,0),0)+IF(AND(ISNUMBER(N27),COUNT(N$2:N$46)&gt;=4),IF(N27&lt;=QUARTILE(N$2:N$46,1),1,0),0)+IF(AND(ISNUMBER(O27),COUNT(O$2:O$46)&gt;=4),IF(O27&lt;=QUARTILE(O$2:O$46,1),1,0),0)+IF(AND(ISNUMBER(P27),COUNT(P$2:P$46)&gt;=4),IF(P27&lt;=QUARTILE(P$2:P$46,1),1,0),0)+IF(AND(ISNUMBER(Q27),COUNT(Q$2:Q$46)&gt;=4),IF(Q27&lt;=QUARTILE(Q$2:Q$46,1),1,0),0)+IF(AND(ISNUMBER(R27),COUNT(R$2:R$46)&gt;=4),IF(R27&lt;=QUARTILE(R$2:R$46,1),1,0),0)+IF(AND(ISNUMBER(S27),COUNT(S$2:S$46)&gt;=4),IF(S27&lt;=QUARTILE(S$2:S$46,1),1,0),0)+IF(AND(ISNUMBER(T27),COUNT(T$2:T$46)&gt;=4),IF(T27&lt;=QUARTILE(T$2:T$46,1),1,0),0)+IF(AND(ISNUMBER(U27),COUNT(U$2:U$46)&gt;=4),IF(U27&lt;=QUARTILE(U$2:U$46,1),1,0),0)</f>
        <v/>
      </c>
      <c r="X27" s="3">
        <f>IF(W27=0,V27,ROUND(V27/W27,2))</f>
        <v/>
      </c>
      <c r="Y27" s="3">
        <f>IFERROR(IF(VLOOKUP(A27,'Raw Data 5Y'!A:AL,38,FALSE)="","none",VLOOKUP(A27,'Raw Data 5Y'!A:AL,38,FALSE)),"none")</f>
        <v/>
      </c>
      <c r="Z27" s="4" t="inlineStr">
        <is>
          <t>Source</t>
        </is>
      </c>
    </row>
    <row r="28">
      <c r="A28">
        <f>'Raw Data 5Y'!A42</f>
        <v/>
      </c>
      <c r="B28" s="3">
        <f>IFERROR((('Raw Data 5Y'!C42/'Raw Data 5Y'!B42)^(1/'Raw Data 5Y'!D42)-1)*100,"")</f>
        <v/>
      </c>
      <c r="C28" s="3">
        <f>'Raw Data 5Y'!E42</f>
        <v/>
      </c>
      <c r="D28" s="3">
        <f>INT('Raw Data 5Y'!D42)</f>
        <v/>
      </c>
      <c r="E28" s="3">
        <f>IFERROR(AVERAGE(F28:U28),"")</f>
        <v/>
      </c>
      <c r="F28" s="3">
        <f>IFERROR((('Raw Data 5Y'!G42/'Raw Data 5Y'!F42)^(1/5)-1)*100,"")</f>
        <v/>
      </c>
      <c r="G28" s="3">
        <f>IFERROR((('Raw Data 5Y'!I42/'Raw Data 5Y'!H42)^(1/5)-1)*100,"")</f>
        <v/>
      </c>
      <c r="H28" s="3">
        <f>IFERROR((('Raw Data 5Y'!K42/'Raw Data 5Y'!J42)^(1/5)-1)*100,"")</f>
        <v/>
      </c>
      <c r="I28" s="3">
        <f>IFERROR((('Raw Data 5Y'!M42/'Raw Data 5Y'!L42)^(1/5)-1)*100,"")</f>
        <v/>
      </c>
      <c r="J28" s="3">
        <f>IFERROR((('Raw Data 5Y'!O42/'Raw Data 5Y'!N42)^(1/5)-1)*100,"")</f>
        <v/>
      </c>
      <c r="K28" s="3">
        <f>IFERROR((('Raw Data 5Y'!Q42/'Raw Data 5Y'!P42)^(1/5)-1)*100,"")</f>
        <v/>
      </c>
      <c r="L28" s="3">
        <f>IFERROR((('Raw Data 5Y'!S42/'Raw Data 5Y'!R42)^(1/5)-1)*100,"")</f>
        <v/>
      </c>
      <c r="M28" s="3">
        <f>IFERROR((('Raw Data 5Y'!U42/'Raw Data 5Y'!T42)^(1/5)-1)*100,"")</f>
        <v/>
      </c>
      <c r="N28" s="3">
        <f>IFERROR((('Raw Data 5Y'!W42/'Raw Data 5Y'!V42)^(1/5)-1)*100,"")</f>
        <v/>
      </c>
      <c r="O28" s="3">
        <f>IFERROR((('Raw Data 5Y'!Y42/'Raw Data 5Y'!X42)^(1/5)-1)*100,"")</f>
        <v/>
      </c>
      <c r="P28" s="3">
        <f>IFERROR((('Raw Data 5Y'!AA42/'Raw Data 5Y'!Z42)^(1/5)-1)*100,"")</f>
        <v/>
      </c>
      <c r="Q28" s="3">
        <f>IFERROR((('Raw Data 5Y'!AC42/'Raw Data 5Y'!AB42)^(1/5)-1)*100,"")</f>
        <v/>
      </c>
      <c r="R28" s="3">
        <f>IFERROR((('Raw Data 5Y'!AE42/'Raw Data 5Y'!AD42)^(1/5)-1)*100,"")</f>
        <v/>
      </c>
      <c r="S28" s="3">
        <f>IFERROR((('Raw Data 5Y'!AG42/'Raw Data 5Y'!AF42)^(1/5)-1)*100,"")</f>
        <v/>
      </c>
      <c r="T28" s="3">
        <f>IFERROR((('Raw Data 5Y'!AI42/'Raw Data 5Y'!AH42)^(1/5)-1)*100,"")</f>
        <v/>
      </c>
      <c r="U28" s="3">
        <f>IFERROR((('Raw Data 5Y'!AK42/'Raw Data 5Y'!AJ42)^(1/5)-1)*100,"")</f>
        <v/>
      </c>
      <c r="V28" s="3">
        <f>IF(AND(ISNUMBER(F28),COUNT(F$2:F$46)&gt;=4),IF(F28&gt;=QUARTILE(F$2:F$46,3),1,0),0)+IF(AND(ISNUMBER(G28),COUNT(G$2:G$46)&gt;=4),IF(G28&gt;=QUARTILE(G$2:G$46,3),1,0),0)+IF(AND(ISNUMBER(H28),COUNT(H$2:H$46)&gt;=4),IF(H28&gt;=QUARTILE(H$2:H$46,3),1,0),0)+IF(AND(ISNUMBER(I28),COUNT(I$2:I$46)&gt;=4),IF(I28&gt;=QUARTILE(I$2:I$46,3),1,0),0)+IF(AND(ISNUMBER(J28),COUNT(J$2:J$46)&gt;=4),IF(J28&gt;=QUARTILE(J$2:J$46,3),1,0),0)+IF(AND(ISNUMBER(K28),COUNT(K$2:K$46)&gt;=4),IF(K28&gt;=QUARTILE(K$2:K$46,3),1,0),0)+IF(AND(ISNUMBER(L28),COUNT(L$2:L$46)&gt;=4),IF(L28&gt;=QUARTILE(L$2:L$46,3),1,0),0)+IF(AND(ISNUMBER(M28),COUNT(M$2:M$46)&gt;=4),IF(M28&gt;=QUARTILE(M$2:M$46,3),1,0),0)+IF(AND(ISNUMBER(N28),COUNT(N$2:N$46)&gt;=4),IF(N28&gt;=QUARTILE(N$2:N$46,3),1,0),0)+IF(AND(ISNUMBER(O28),COUNT(O$2:O$46)&gt;=4),IF(O28&gt;=QUARTILE(O$2:O$46,3),1,0),0)+IF(AND(ISNUMBER(P28),COUNT(P$2:P$46)&gt;=4),IF(P28&gt;=QUARTILE(P$2:P$46,3),1,0),0)+IF(AND(ISNUMBER(Q28),COUNT(Q$2:Q$46)&gt;=4),IF(Q28&gt;=QUARTILE(Q$2:Q$46,3),1,0),0)+IF(AND(ISNUMBER(R28),COUNT(R$2:R$46)&gt;=4),IF(R28&gt;=QUARTILE(R$2:R$46,3),1,0),0)+IF(AND(ISNUMBER(S28),COUNT(S$2:S$46)&gt;=4),IF(S28&gt;=QUARTILE(S$2:S$46,3),1,0),0)+IF(AND(ISNUMBER(T28),COUNT(T$2:T$46)&gt;=4),IF(T28&gt;=QUARTILE(T$2:T$46,3),1,0),0)+IF(AND(ISNUMBER(U28),COUNT(U$2:U$46)&gt;=4),IF(U28&gt;=QUARTILE(U$2:U$46,3),1,0),0)</f>
        <v/>
      </c>
      <c r="W28" s="3">
        <f>IF(AND(ISNUMBER(F28),COUNT(F$2:F$46)&gt;=4),IF(F28&lt;=QUARTILE(F$2:F$46,1),1,0),0)+IF(AND(ISNUMBER(G28),COUNT(G$2:G$46)&gt;=4),IF(G28&lt;=QUARTILE(G$2:G$46,1),1,0),0)+IF(AND(ISNUMBER(H28),COUNT(H$2:H$46)&gt;=4),IF(H28&lt;=QUARTILE(H$2:H$46,1),1,0),0)+IF(AND(ISNUMBER(I28),COUNT(I$2:I$46)&gt;=4),IF(I28&lt;=QUARTILE(I$2:I$46,1),1,0),0)+IF(AND(ISNUMBER(J28),COUNT(J$2:J$46)&gt;=4),IF(J28&lt;=QUARTILE(J$2:J$46,1),1,0),0)+IF(AND(ISNUMBER(K28),COUNT(K$2:K$46)&gt;=4),IF(K28&lt;=QUARTILE(K$2:K$46,1),1,0),0)+IF(AND(ISNUMBER(L28),COUNT(L$2:L$46)&gt;=4),IF(L28&lt;=QUARTILE(L$2:L$46,1),1,0),0)+IF(AND(ISNUMBER(M28),COUNT(M$2:M$46)&gt;=4),IF(M28&lt;=QUARTILE(M$2:M$46,1),1,0),0)+IF(AND(ISNUMBER(N28),COUNT(N$2:N$46)&gt;=4),IF(N28&lt;=QUARTILE(N$2:N$46,1),1,0),0)+IF(AND(ISNUMBER(O28),COUNT(O$2:O$46)&gt;=4),IF(O28&lt;=QUARTILE(O$2:O$46,1),1,0),0)+IF(AND(ISNUMBER(P28),COUNT(P$2:P$46)&gt;=4),IF(P28&lt;=QUARTILE(P$2:P$46,1),1,0),0)+IF(AND(ISNUMBER(Q28),COUNT(Q$2:Q$46)&gt;=4),IF(Q28&lt;=QUARTILE(Q$2:Q$46,1),1,0),0)+IF(AND(ISNUMBER(R28),COUNT(R$2:R$46)&gt;=4),IF(R28&lt;=QUARTILE(R$2:R$46,1),1,0),0)+IF(AND(ISNUMBER(S28),COUNT(S$2:S$46)&gt;=4),IF(S28&lt;=QUARTILE(S$2:S$46,1),1,0),0)+IF(AND(ISNUMBER(T28),COUNT(T$2:T$46)&gt;=4),IF(T28&lt;=QUARTILE(T$2:T$46,1),1,0),0)+IF(AND(ISNUMBER(U28),COUNT(U$2:U$46)&gt;=4),IF(U28&lt;=QUARTILE(U$2:U$46,1),1,0),0)</f>
        <v/>
      </c>
      <c r="X28" s="3">
        <f>IF(W28=0,V28,ROUND(V28/W28,2))</f>
        <v/>
      </c>
      <c r="Y28" s="3">
        <f>IFERROR(IF(VLOOKUP(A28,'Raw Data 5Y'!A:AL,38,FALSE)="","none",VLOOKUP(A28,'Raw Data 5Y'!A:AL,38,FALSE)),"none")</f>
        <v/>
      </c>
      <c r="Z28" s="4" t="inlineStr">
        <is>
          <t>Source</t>
        </is>
      </c>
    </row>
    <row r="29">
      <c r="A29">
        <f>'Raw Data 5Y'!A3</f>
        <v/>
      </c>
      <c r="B29" s="3">
        <f>IFERROR((('Raw Data 5Y'!C3/'Raw Data 5Y'!B3)^(1/'Raw Data 5Y'!D3)-1)*100,"")</f>
        <v/>
      </c>
      <c r="C29" s="3">
        <f>'Raw Data 5Y'!E3</f>
        <v/>
      </c>
      <c r="D29" s="3">
        <f>INT('Raw Data 5Y'!D3)</f>
        <v/>
      </c>
      <c r="E29" s="3">
        <f>IFERROR(AVERAGE(F29:U29),"")</f>
        <v/>
      </c>
      <c r="F29" s="3">
        <f>IFERROR((('Raw Data 5Y'!G3/'Raw Data 5Y'!F3)^(1/5)-1)*100,"")</f>
        <v/>
      </c>
      <c r="G29" s="3">
        <f>IFERROR((('Raw Data 5Y'!I3/'Raw Data 5Y'!H3)^(1/5)-1)*100,"")</f>
        <v/>
      </c>
      <c r="H29" s="3">
        <f>IFERROR((('Raw Data 5Y'!K3/'Raw Data 5Y'!J3)^(1/5)-1)*100,"")</f>
        <v/>
      </c>
      <c r="I29" s="3">
        <f>IFERROR((('Raw Data 5Y'!M3/'Raw Data 5Y'!L3)^(1/5)-1)*100,"")</f>
        <v/>
      </c>
      <c r="J29" s="3">
        <f>IFERROR((('Raw Data 5Y'!O3/'Raw Data 5Y'!N3)^(1/5)-1)*100,"")</f>
        <v/>
      </c>
      <c r="K29" s="3">
        <f>IFERROR((('Raw Data 5Y'!Q3/'Raw Data 5Y'!P3)^(1/5)-1)*100,"")</f>
        <v/>
      </c>
      <c r="L29" s="3">
        <f>IFERROR((('Raw Data 5Y'!S3/'Raw Data 5Y'!R3)^(1/5)-1)*100,"")</f>
        <v/>
      </c>
      <c r="M29" s="3">
        <f>IFERROR((('Raw Data 5Y'!U3/'Raw Data 5Y'!T3)^(1/5)-1)*100,"")</f>
        <v/>
      </c>
      <c r="N29" s="3">
        <f>IFERROR((('Raw Data 5Y'!W3/'Raw Data 5Y'!V3)^(1/5)-1)*100,"")</f>
        <v/>
      </c>
      <c r="O29" s="3">
        <f>IFERROR((('Raw Data 5Y'!Y3/'Raw Data 5Y'!X3)^(1/5)-1)*100,"")</f>
        <v/>
      </c>
      <c r="P29" s="3">
        <f>IFERROR((('Raw Data 5Y'!AA3/'Raw Data 5Y'!Z3)^(1/5)-1)*100,"")</f>
        <v/>
      </c>
      <c r="Q29" s="3">
        <f>IFERROR((('Raw Data 5Y'!AC3/'Raw Data 5Y'!AB3)^(1/5)-1)*100,"")</f>
        <v/>
      </c>
      <c r="R29" s="3">
        <f>IFERROR((('Raw Data 5Y'!AE3/'Raw Data 5Y'!AD3)^(1/5)-1)*100,"")</f>
        <v/>
      </c>
      <c r="S29" s="3">
        <f>IFERROR((('Raw Data 5Y'!AG3/'Raw Data 5Y'!AF3)^(1/5)-1)*100,"")</f>
        <v/>
      </c>
      <c r="T29" s="3">
        <f>IFERROR((('Raw Data 5Y'!AI3/'Raw Data 5Y'!AH3)^(1/5)-1)*100,"")</f>
        <v/>
      </c>
      <c r="U29" s="3">
        <f>IFERROR((('Raw Data 5Y'!AK3/'Raw Data 5Y'!AJ3)^(1/5)-1)*100,"")</f>
        <v/>
      </c>
      <c r="V29" s="3">
        <f>IF(AND(ISNUMBER(F29),COUNT(F$2:F$46)&gt;=4),IF(F29&gt;=QUARTILE(F$2:F$46,3),1,0),0)+IF(AND(ISNUMBER(G29),COUNT(G$2:G$46)&gt;=4),IF(G29&gt;=QUARTILE(G$2:G$46,3),1,0),0)+IF(AND(ISNUMBER(H29),COUNT(H$2:H$46)&gt;=4),IF(H29&gt;=QUARTILE(H$2:H$46,3),1,0),0)+IF(AND(ISNUMBER(I29),COUNT(I$2:I$46)&gt;=4),IF(I29&gt;=QUARTILE(I$2:I$46,3),1,0),0)+IF(AND(ISNUMBER(J29),COUNT(J$2:J$46)&gt;=4),IF(J29&gt;=QUARTILE(J$2:J$46,3),1,0),0)+IF(AND(ISNUMBER(K29),COUNT(K$2:K$46)&gt;=4),IF(K29&gt;=QUARTILE(K$2:K$46,3),1,0),0)+IF(AND(ISNUMBER(L29),COUNT(L$2:L$46)&gt;=4),IF(L29&gt;=QUARTILE(L$2:L$46,3),1,0),0)+IF(AND(ISNUMBER(M29),COUNT(M$2:M$46)&gt;=4),IF(M29&gt;=QUARTILE(M$2:M$46,3),1,0),0)+IF(AND(ISNUMBER(N29),COUNT(N$2:N$46)&gt;=4),IF(N29&gt;=QUARTILE(N$2:N$46,3),1,0),0)+IF(AND(ISNUMBER(O29),COUNT(O$2:O$46)&gt;=4),IF(O29&gt;=QUARTILE(O$2:O$46,3),1,0),0)+IF(AND(ISNUMBER(P29),COUNT(P$2:P$46)&gt;=4),IF(P29&gt;=QUARTILE(P$2:P$46,3),1,0),0)+IF(AND(ISNUMBER(Q29),COUNT(Q$2:Q$46)&gt;=4),IF(Q29&gt;=QUARTILE(Q$2:Q$46,3),1,0),0)+IF(AND(ISNUMBER(R29),COUNT(R$2:R$46)&gt;=4),IF(R29&gt;=QUARTILE(R$2:R$46,3),1,0),0)+IF(AND(ISNUMBER(S29),COUNT(S$2:S$46)&gt;=4),IF(S29&gt;=QUARTILE(S$2:S$46,3),1,0),0)+IF(AND(ISNUMBER(T29),COUNT(T$2:T$46)&gt;=4),IF(T29&gt;=QUARTILE(T$2:T$46,3),1,0),0)+IF(AND(ISNUMBER(U29),COUNT(U$2:U$46)&gt;=4),IF(U29&gt;=QUARTILE(U$2:U$46,3),1,0),0)</f>
        <v/>
      </c>
      <c r="W29" s="3">
        <f>IF(AND(ISNUMBER(F29),COUNT(F$2:F$46)&gt;=4),IF(F29&lt;=QUARTILE(F$2:F$46,1),1,0),0)+IF(AND(ISNUMBER(G29),COUNT(G$2:G$46)&gt;=4),IF(G29&lt;=QUARTILE(G$2:G$46,1),1,0),0)+IF(AND(ISNUMBER(H29),COUNT(H$2:H$46)&gt;=4),IF(H29&lt;=QUARTILE(H$2:H$46,1),1,0),0)+IF(AND(ISNUMBER(I29),COUNT(I$2:I$46)&gt;=4),IF(I29&lt;=QUARTILE(I$2:I$46,1),1,0),0)+IF(AND(ISNUMBER(J29),COUNT(J$2:J$46)&gt;=4),IF(J29&lt;=QUARTILE(J$2:J$46,1),1,0),0)+IF(AND(ISNUMBER(K29),COUNT(K$2:K$46)&gt;=4),IF(K29&lt;=QUARTILE(K$2:K$46,1),1,0),0)+IF(AND(ISNUMBER(L29),COUNT(L$2:L$46)&gt;=4),IF(L29&lt;=QUARTILE(L$2:L$46,1),1,0),0)+IF(AND(ISNUMBER(M29),COUNT(M$2:M$46)&gt;=4),IF(M29&lt;=QUARTILE(M$2:M$46,1),1,0),0)+IF(AND(ISNUMBER(N29),COUNT(N$2:N$46)&gt;=4),IF(N29&lt;=QUARTILE(N$2:N$46,1),1,0),0)+IF(AND(ISNUMBER(O29),COUNT(O$2:O$46)&gt;=4),IF(O29&lt;=QUARTILE(O$2:O$46,1),1,0),0)+IF(AND(ISNUMBER(P29),COUNT(P$2:P$46)&gt;=4),IF(P29&lt;=QUARTILE(P$2:P$46,1),1,0),0)+IF(AND(ISNUMBER(Q29),COUNT(Q$2:Q$46)&gt;=4),IF(Q29&lt;=QUARTILE(Q$2:Q$46,1),1,0),0)+IF(AND(ISNUMBER(R29),COUNT(R$2:R$46)&gt;=4),IF(R29&lt;=QUARTILE(R$2:R$46,1),1,0),0)+IF(AND(ISNUMBER(S29),COUNT(S$2:S$46)&gt;=4),IF(S29&lt;=QUARTILE(S$2:S$46,1),1,0),0)+IF(AND(ISNUMBER(T29),COUNT(T$2:T$46)&gt;=4),IF(T29&lt;=QUARTILE(T$2:T$46,1),1,0),0)+IF(AND(ISNUMBER(U29),COUNT(U$2:U$46)&gt;=4),IF(U29&lt;=QUARTILE(U$2:U$46,1),1,0),0)</f>
        <v/>
      </c>
      <c r="X29" s="3">
        <f>IF(W29=0,V29,ROUND(V29/W29,2))</f>
        <v/>
      </c>
      <c r="Y29" s="3">
        <f>IFERROR(IF(VLOOKUP(A29,'Raw Data 5Y'!A:AL,38,FALSE)="","none",VLOOKUP(A29,'Raw Data 5Y'!A:AL,38,FALSE)),"none")</f>
        <v/>
      </c>
      <c r="Z29" s="4" t="inlineStr">
        <is>
          <t>Source</t>
        </is>
      </c>
    </row>
    <row r="30">
      <c r="A30">
        <f>'Raw Data 5Y'!A43</f>
        <v/>
      </c>
      <c r="B30" s="3">
        <f>IFERROR((('Raw Data 5Y'!C43/'Raw Data 5Y'!B43)^(1/'Raw Data 5Y'!D43)-1)*100,"")</f>
        <v/>
      </c>
      <c r="C30" s="3">
        <f>'Raw Data 5Y'!E43</f>
        <v/>
      </c>
      <c r="D30" s="3">
        <f>INT('Raw Data 5Y'!D43)</f>
        <v/>
      </c>
      <c r="E30" s="3">
        <f>IFERROR(AVERAGE(F30:U30),"")</f>
        <v/>
      </c>
      <c r="F30" s="3">
        <f>IFERROR((('Raw Data 5Y'!G43/'Raw Data 5Y'!F43)^(1/5)-1)*100,"")</f>
        <v/>
      </c>
      <c r="G30" s="3">
        <f>IFERROR((('Raw Data 5Y'!I43/'Raw Data 5Y'!H43)^(1/5)-1)*100,"")</f>
        <v/>
      </c>
      <c r="H30" s="3">
        <f>IFERROR((('Raw Data 5Y'!K43/'Raw Data 5Y'!J43)^(1/5)-1)*100,"")</f>
        <v/>
      </c>
      <c r="I30" s="3">
        <f>IFERROR((('Raw Data 5Y'!M43/'Raw Data 5Y'!L43)^(1/5)-1)*100,"")</f>
        <v/>
      </c>
      <c r="J30" s="3">
        <f>IFERROR((('Raw Data 5Y'!O43/'Raw Data 5Y'!N43)^(1/5)-1)*100,"")</f>
        <v/>
      </c>
      <c r="K30" s="3">
        <f>IFERROR((('Raw Data 5Y'!Q43/'Raw Data 5Y'!P43)^(1/5)-1)*100,"")</f>
        <v/>
      </c>
      <c r="L30" s="3">
        <f>IFERROR((('Raw Data 5Y'!S43/'Raw Data 5Y'!R43)^(1/5)-1)*100,"")</f>
        <v/>
      </c>
      <c r="M30" s="3">
        <f>IFERROR((('Raw Data 5Y'!U43/'Raw Data 5Y'!T43)^(1/5)-1)*100,"")</f>
        <v/>
      </c>
      <c r="N30" s="3">
        <f>IFERROR((('Raw Data 5Y'!W43/'Raw Data 5Y'!V43)^(1/5)-1)*100,"")</f>
        <v/>
      </c>
      <c r="O30" s="3">
        <f>IFERROR((('Raw Data 5Y'!Y43/'Raw Data 5Y'!X43)^(1/5)-1)*100,"")</f>
        <v/>
      </c>
      <c r="P30" s="3">
        <f>IFERROR((('Raw Data 5Y'!AA43/'Raw Data 5Y'!Z43)^(1/5)-1)*100,"")</f>
        <v/>
      </c>
      <c r="Q30" s="3">
        <f>IFERROR((('Raw Data 5Y'!AC43/'Raw Data 5Y'!AB43)^(1/5)-1)*100,"")</f>
        <v/>
      </c>
      <c r="R30" s="3">
        <f>IFERROR((('Raw Data 5Y'!AE43/'Raw Data 5Y'!AD43)^(1/5)-1)*100,"")</f>
        <v/>
      </c>
      <c r="S30" s="3">
        <f>IFERROR((('Raw Data 5Y'!AG43/'Raw Data 5Y'!AF43)^(1/5)-1)*100,"")</f>
        <v/>
      </c>
      <c r="T30" s="3">
        <f>IFERROR((('Raw Data 5Y'!AI43/'Raw Data 5Y'!AH43)^(1/5)-1)*100,"")</f>
        <v/>
      </c>
      <c r="U30" s="3">
        <f>IFERROR((('Raw Data 5Y'!AK43/'Raw Data 5Y'!AJ43)^(1/5)-1)*100,"")</f>
        <v/>
      </c>
      <c r="V30" s="3">
        <f>IF(AND(ISNUMBER(F30),COUNT(F$2:F$46)&gt;=4),IF(F30&gt;=QUARTILE(F$2:F$46,3),1,0),0)+IF(AND(ISNUMBER(G30),COUNT(G$2:G$46)&gt;=4),IF(G30&gt;=QUARTILE(G$2:G$46,3),1,0),0)+IF(AND(ISNUMBER(H30),COUNT(H$2:H$46)&gt;=4),IF(H30&gt;=QUARTILE(H$2:H$46,3),1,0),0)+IF(AND(ISNUMBER(I30),COUNT(I$2:I$46)&gt;=4),IF(I30&gt;=QUARTILE(I$2:I$46,3),1,0),0)+IF(AND(ISNUMBER(J30),COUNT(J$2:J$46)&gt;=4),IF(J30&gt;=QUARTILE(J$2:J$46,3),1,0),0)+IF(AND(ISNUMBER(K30),COUNT(K$2:K$46)&gt;=4),IF(K30&gt;=QUARTILE(K$2:K$46,3),1,0),0)+IF(AND(ISNUMBER(L30),COUNT(L$2:L$46)&gt;=4),IF(L30&gt;=QUARTILE(L$2:L$46,3),1,0),0)+IF(AND(ISNUMBER(M30),COUNT(M$2:M$46)&gt;=4),IF(M30&gt;=QUARTILE(M$2:M$46,3),1,0),0)+IF(AND(ISNUMBER(N30),COUNT(N$2:N$46)&gt;=4),IF(N30&gt;=QUARTILE(N$2:N$46,3),1,0),0)+IF(AND(ISNUMBER(O30),COUNT(O$2:O$46)&gt;=4),IF(O30&gt;=QUARTILE(O$2:O$46,3),1,0),0)+IF(AND(ISNUMBER(P30),COUNT(P$2:P$46)&gt;=4),IF(P30&gt;=QUARTILE(P$2:P$46,3),1,0),0)+IF(AND(ISNUMBER(Q30),COUNT(Q$2:Q$46)&gt;=4),IF(Q30&gt;=QUARTILE(Q$2:Q$46,3),1,0),0)+IF(AND(ISNUMBER(R30),COUNT(R$2:R$46)&gt;=4),IF(R30&gt;=QUARTILE(R$2:R$46,3),1,0),0)+IF(AND(ISNUMBER(S30),COUNT(S$2:S$46)&gt;=4),IF(S30&gt;=QUARTILE(S$2:S$46,3),1,0),0)+IF(AND(ISNUMBER(T30),COUNT(T$2:T$46)&gt;=4),IF(T30&gt;=QUARTILE(T$2:T$46,3),1,0),0)+IF(AND(ISNUMBER(U30),COUNT(U$2:U$46)&gt;=4),IF(U30&gt;=QUARTILE(U$2:U$46,3),1,0),0)</f>
        <v/>
      </c>
      <c r="W30" s="3">
        <f>IF(AND(ISNUMBER(F30),COUNT(F$2:F$46)&gt;=4),IF(F30&lt;=QUARTILE(F$2:F$46,1),1,0),0)+IF(AND(ISNUMBER(G30),COUNT(G$2:G$46)&gt;=4),IF(G30&lt;=QUARTILE(G$2:G$46,1),1,0),0)+IF(AND(ISNUMBER(H30),COUNT(H$2:H$46)&gt;=4),IF(H30&lt;=QUARTILE(H$2:H$46,1),1,0),0)+IF(AND(ISNUMBER(I30),COUNT(I$2:I$46)&gt;=4),IF(I30&lt;=QUARTILE(I$2:I$46,1),1,0),0)+IF(AND(ISNUMBER(J30),COUNT(J$2:J$46)&gt;=4),IF(J30&lt;=QUARTILE(J$2:J$46,1),1,0),0)+IF(AND(ISNUMBER(K30),COUNT(K$2:K$46)&gt;=4),IF(K30&lt;=QUARTILE(K$2:K$46,1),1,0),0)+IF(AND(ISNUMBER(L30),COUNT(L$2:L$46)&gt;=4),IF(L30&lt;=QUARTILE(L$2:L$46,1),1,0),0)+IF(AND(ISNUMBER(M30),COUNT(M$2:M$46)&gt;=4),IF(M30&lt;=QUARTILE(M$2:M$46,1),1,0),0)+IF(AND(ISNUMBER(N30),COUNT(N$2:N$46)&gt;=4),IF(N30&lt;=QUARTILE(N$2:N$46,1),1,0),0)+IF(AND(ISNUMBER(O30),COUNT(O$2:O$46)&gt;=4),IF(O30&lt;=QUARTILE(O$2:O$46,1),1,0),0)+IF(AND(ISNUMBER(P30),COUNT(P$2:P$46)&gt;=4),IF(P30&lt;=QUARTILE(P$2:P$46,1),1,0),0)+IF(AND(ISNUMBER(Q30),COUNT(Q$2:Q$46)&gt;=4),IF(Q30&lt;=QUARTILE(Q$2:Q$46,1),1,0),0)+IF(AND(ISNUMBER(R30),COUNT(R$2:R$46)&gt;=4),IF(R30&lt;=QUARTILE(R$2:R$46,1),1,0),0)+IF(AND(ISNUMBER(S30),COUNT(S$2:S$46)&gt;=4),IF(S30&lt;=QUARTILE(S$2:S$46,1),1,0),0)+IF(AND(ISNUMBER(T30),COUNT(T$2:T$46)&gt;=4),IF(T30&lt;=QUARTILE(T$2:T$46,1),1,0),0)+IF(AND(ISNUMBER(U30),COUNT(U$2:U$46)&gt;=4),IF(U30&lt;=QUARTILE(U$2:U$46,1),1,0),0)</f>
        <v/>
      </c>
      <c r="X30" s="3">
        <f>IF(W30=0,V30,ROUND(V30/W30,2))</f>
        <v/>
      </c>
      <c r="Y30" s="3">
        <f>IFERROR(IF(VLOOKUP(A30,'Raw Data 5Y'!A:AL,38,FALSE)="","none",VLOOKUP(A30,'Raw Data 5Y'!A:AL,38,FALSE)),"none")</f>
        <v/>
      </c>
      <c r="Z30" s="4" t="inlineStr">
        <is>
          <t>Source</t>
        </is>
      </c>
    </row>
    <row r="31">
      <c r="A31">
        <f>'Raw Data 5Y'!A13</f>
        <v/>
      </c>
      <c r="B31" s="3">
        <f>IFERROR((('Raw Data 5Y'!C13/'Raw Data 5Y'!B13)^(1/'Raw Data 5Y'!D13)-1)*100,"")</f>
        <v/>
      </c>
      <c r="C31" s="3">
        <f>'Raw Data 5Y'!E13</f>
        <v/>
      </c>
      <c r="D31" s="3">
        <f>INT('Raw Data 5Y'!D13)</f>
        <v/>
      </c>
      <c r="E31" s="3">
        <f>IFERROR(AVERAGE(F31:U31),"")</f>
        <v/>
      </c>
      <c r="F31" s="3">
        <f>IFERROR((('Raw Data 5Y'!G13/'Raw Data 5Y'!F13)^(1/5)-1)*100,"")</f>
        <v/>
      </c>
      <c r="G31" s="3">
        <f>IFERROR((('Raw Data 5Y'!I13/'Raw Data 5Y'!H13)^(1/5)-1)*100,"")</f>
        <v/>
      </c>
      <c r="H31" s="3">
        <f>IFERROR((('Raw Data 5Y'!K13/'Raw Data 5Y'!J13)^(1/5)-1)*100,"")</f>
        <v/>
      </c>
      <c r="I31" s="3">
        <f>IFERROR((('Raw Data 5Y'!M13/'Raw Data 5Y'!L13)^(1/5)-1)*100,"")</f>
        <v/>
      </c>
      <c r="J31" s="3">
        <f>IFERROR((('Raw Data 5Y'!O13/'Raw Data 5Y'!N13)^(1/5)-1)*100,"")</f>
        <v/>
      </c>
      <c r="K31" s="3">
        <f>IFERROR((('Raw Data 5Y'!Q13/'Raw Data 5Y'!P13)^(1/5)-1)*100,"")</f>
        <v/>
      </c>
      <c r="L31" s="3">
        <f>IFERROR((('Raw Data 5Y'!S13/'Raw Data 5Y'!R13)^(1/5)-1)*100,"")</f>
        <v/>
      </c>
      <c r="M31" s="3">
        <f>IFERROR((('Raw Data 5Y'!U13/'Raw Data 5Y'!T13)^(1/5)-1)*100,"")</f>
        <v/>
      </c>
      <c r="N31" s="3">
        <f>IFERROR((('Raw Data 5Y'!W13/'Raw Data 5Y'!V13)^(1/5)-1)*100,"")</f>
        <v/>
      </c>
      <c r="O31" s="3">
        <f>IFERROR((('Raw Data 5Y'!Y13/'Raw Data 5Y'!X13)^(1/5)-1)*100,"")</f>
        <v/>
      </c>
      <c r="P31" s="3">
        <f>IFERROR((('Raw Data 5Y'!AA13/'Raw Data 5Y'!Z13)^(1/5)-1)*100,"")</f>
        <v/>
      </c>
      <c r="Q31" s="3">
        <f>IFERROR((('Raw Data 5Y'!AC13/'Raw Data 5Y'!AB13)^(1/5)-1)*100,"")</f>
        <v/>
      </c>
      <c r="R31" s="3">
        <f>IFERROR((('Raw Data 5Y'!AE13/'Raw Data 5Y'!AD13)^(1/5)-1)*100,"")</f>
        <v/>
      </c>
      <c r="S31" s="3">
        <f>IFERROR((('Raw Data 5Y'!AG13/'Raw Data 5Y'!AF13)^(1/5)-1)*100,"")</f>
        <v/>
      </c>
      <c r="T31" s="3">
        <f>IFERROR((('Raw Data 5Y'!AI13/'Raw Data 5Y'!AH13)^(1/5)-1)*100,"")</f>
        <v/>
      </c>
      <c r="U31" s="3">
        <f>IFERROR((('Raw Data 5Y'!AK13/'Raw Data 5Y'!AJ13)^(1/5)-1)*100,"")</f>
        <v/>
      </c>
      <c r="V31" s="3">
        <f>IF(AND(ISNUMBER(F31),COUNT(F$2:F$46)&gt;=4),IF(F31&gt;=QUARTILE(F$2:F$46,3),1,0),0)+IF(AND(ISNUMBER(G31),COUNT(G$2:G$46)&gt;=4),IF(G31&gt;=QUARTILE(G$2:G$46,3),1,0),0)+IF(AND(ISNUMBER(H31),COUNT(H$2:H$46)&gt;=4),IF(H31&gt;=QUARTILE(H$2:H$46,3),1,0),0)+IF(AND(ISNUMBER(I31),COUNT(I$2:I$46)&gt;=4),IF(I31&gt;=QUARTILE(I$2:I$46,3),1,0),0)+IF(AND(ISNUMBER(J31),COUNT(J$2:J$46)&gt;=4),IF(J31&gt;=QUARTILE(J$2:J$46,3),1,0),0)+IF(AND(ISNUMBER(K31),COUNT(K$2:K$46)&gt;=4),IF(K31&gt;=QUARTILE(K$2:K$46,3),1,0),0)+IF(AND(ISNUMBER(L31),COUNT(L$2:L$46)&gt;=4),IF(L31&gt;=QUARTILE(L$2:L$46,3),1,0),0)+IF(AND(ISNUMBER(M31),COUNT(M$2:M$46)&gt;=4),IF(M31&gt;=QUARTILE(M$2:M$46,3),1,0),0)+IF(AND(ISNUMBER(N31),COUNT(N$2:N$46)&gt;=4),IF(N31&gt;=QUARTILE(N$2:N$46,3),1,0),0)+IF(AND(ISNUMBER(O31),COUNT(O$2:O$46)&gt;=4),IF(O31&gt;=QUARTILE(O$2:O$46,3),1,0),0)+IF(AND(ISNUMBER(P31),COUNT(P$2:P$46)&gt;=4),IF(P31&gt;=QUARTILE(P$2:P$46,3),1,0),0)+IF(AND(ISNUMBER(Q31),COUNT(Q$2:Q$46)&gt;=4),IF(Q31&gt;=QUARTILE(Q$2:Q$46,3),1,0),0)+IF(AND(ISNUMBER(R31),COUNT(R$2:R$46)&gt;=4),IF(R31&gt;=QUARTILE(R$2:R$46,3),1,0),0)+IF(AND(ISNUMBER(S31),COUNT(S$2:S$46)&gt;=4),IF(S31&gt;=QUARTILE(S$2:S$46,3),1,0),0)+IF(AND(ISNUMBER(T31),COUNT(T$2:T$46)&gt;=4),IF(T31&gt;=QUARTILE(T$2:T$46,3),1,0),0)+IF(AND(ISNUMBER(U31),COUNT(U$2:U$46)&gt;=4),IF(U31&gt;=QUARTILE(U$2:U$46,3),1,0),0)</f>
        <v/>
      </c>
      <c r="W31" s="3">
        <f>IF(AND(ISNUMBER(F31),COUNT(F$2:F$46)&gt;=4),IF(F31&lt;=QUARTILE(F$2:F$46,1),1,0),0)+IF(AND(ISNUMBER(G31),COUNT(G$2:G$46)&gt;=4),IF(G31&lt;=QUARTILE(G$2:G$46,1),1,0),0)+IF(AND(ISNUMBER(H31),COUNT(H$2:H$46)&gt;=4),IF(H31&lt;=QUARTILE(H$2:H$46,1),1,0),0)+IF(AND(ISNUMBER(I31),COUNT(I$2:I$46)&gt;=4),IF(I31&lt;=QUARTILE(I$2:I$46,1),1,0),0)+IF(AND(ISNUMBER(J31),COUNT(J$2:J$46)&gt;=4),IF(J31&lt;=QUARTILE(J$2:J$46,1),1,0),0)+IF(AND(ISNUMBER(K31),COUNT(K$2:K$46)&gt;=4),IF(K31&lt;=QUARTILE(K$2:K$46,1),1,0),0)+IF(AND(ISNUMBER(L31),COUNT(L$2:L$46)&gt;=4),IF(L31&lt;=QUARTILE(L$2:L$46,1),1,0),0)+IF(AND(ISNUMBER(M31),COUNT(M$2:M$46)&gt;=4),IF(M31&lt;=QUARTILE(M$2:M$46,1),1,0),0)+IF(AND(ISNUMBER(N31),COUNT(N$2:N$46)&gt;=4),IF(N31&lt;=QUARTILE(N$2:N$46,1),1,0),0)+IF(AND(ISNUMBER(O31),COUNT(O$2:O$46)&gt;=4),IF(O31&lt;=QUARTILE(O$2:O$46,1),1,0),0)+IF(AND(ISNUMBER(P31),COUNT(P$2:P$46)&gt;=4),IF(P31&lt;=QUARTILE(P$2:P$46,1),1,0),0)+IF(AND(ISNUMBER(Q31),COUNT(Q$2:Q$46)&gt;=4),IF(Q31&lt;=QUARTILE(Q$2:Q$46,1),1,0),0)+IF(AND(ISNUMBER(R31),COUNT(R$2:R$46)&gt;=4),IF(R31&lt;=QUARTILE(R$2:R$46,1),1,0),0)+IF(AND(ISNUMBER(S31),COUNT(S$2:S$46)&gt;=4),IF(S31&lt;=QUARTILE(S$2:S$46,1),1,0),0)+IF(AND(ISNUMBER(T31),COUNT(T$2:T$46)&gt;=4),IF(T31&lt;=QUARTILE(T$2:T$46,1),1,0),0)+IF(AND(ISNUMBER(U31),COUNT(U$2:U$46)&gt;=4),IF(U31&lt;=QUARTILE(U$2:U$46,1),1,0),0)</f>
        <v/>
      </c>
      <c r="X31" s="3">
        <f>IF(W31=0,V31,ROUND(V31/W31,2))</f>
        <v/>
      </c>
      <c r="Y31" s="3">
        <f>IFERROR(IF(VLOOKUP(A31,'Raw Data 5Y'!A:AL,38,FALSE)="","none",VLOOKUP(A31,'Raw Data 5Y'!A:AL,38,FALSE)),"none")</f>
        <v/>
      </c>
      <c r="Z31" s="4" t="inlineStr">
        <is>
          <t>Source</t>
        </is>
      </c>
    </row>
    <row r="32">
      <c r="A32">
        <f>'Raw Data 5Y'!A10</f>
        <v/>
      </c>
      <c r="B32" s="3">
        <f>IFERROR((('Raw Data 5Y'!C10/'Raw Data 5Y'!B10)^(1/'Raw Data 5Y'!D10)-1)*100,"")</f>
        <v/>
      </c>
      <c r="C32" s="3">
        <f>'Raw Data 5Y'!E10</f>
        <v/>
      </c>
      <c r="D32" s="3">
        <f>INT('Raw Data 5Y'!D10)</f>
        <v/>
      </c>
      <c r="E32" s="3">
        <f>IFERROR(AVERAGE(F32:U32),"")</f>
        <v/>
      </c>
      <c r="F32" s="3">
        <f>IFERROR((('Raw Data 5Y'!G10/'Raw Data 5Y'!F10)^(1/5)-1)*100,"")</f>
        <v/>
      </c>
      <c r="G32" s="3">
        <f>IFERROR((('Raw Data 5Y'!I10/'Raw Data 5Y'!H10)^(1/5)-1)*100,"")</f>
        <v/>
      </c>
      <c r="H32" s="3">
        <f>IFERROR((('Raw Data 5Y'!K10/'Raw Data 5Y'!J10)^(1/5)-1)*100,"")</f>
        <v/>
      </c>
      <c r="I32" s="3">
        <f>IFERROR((('Raw Data 5Y'!M10/'Raw Data 5Y'!L10)^(1/5)-1)*100,"")</f>
        <v/>
      </c>
      <c r="J32" s="3">
        <f>IFERROR((('Raw Data 5Y'!O10/'Raw Data 5Y'!N10)^(1/5)-1)*100,"")</f>
        <v/>
      </c>
      <c r="K32" s="3">
        <f>IFERROR((('Raw Data 5Y'!Q10/'Raw Data 5Y'!P10)^(1/5)-1)*100,"")</f>
        <v/>
      </c>
      <c r="L32" s="3">
        <f>IFERROR((('Raw Data 5Y'!S10/'Raw Data 5Y'!R10)^(1/5)-1)*100,"")</f>
        <v/>
      </c>
      <c r="M32" s="3">
        <f>IFERROR((('Raw Data 5Y'!U10/'Raw Data 5Y'!T10)^(1/5)-1)*100,"")</f>
        <v/>
      </c>
      <c r="N32" s="3">
        <f>IFERROR((('Raw Data 5Y'!W10/'Raw Data 5Y'!V10)^(1/5)-1)*100,"")</f>
        <v/>
      </c>
      <c r="O32" s="3">
        <f>IFERROR((('Raw Data 5Y'!Y10/'Raw Data 5Y'!X10)^(1/5)-1)*100,"")</f>
        <v/>
      </c>
      <c r="P32" s="3">
        <f>IFERROR((('Raw Data 5Y'!AA10/'Raw Data 5Y'!Z10)^(1/5)-1)*100,"")</f>
        <v/>
      </c>
      <c r="Q32" s="3">
        <f>IFERROR((('Raw Data 5Y'!AC10/'Raw Data 5Y'!AB10)^(1/5)-1)*100,"")</f>
        <v/>
      </c>
      <c r="R32" s="3">
        <f>IFERROR((('Raw Data 5Y'!AE10/'Raw Data 5Y'!AD10)^(1/5)-1)*100,"")</f>
        <v/>
      </c>
      <c r="S32" s="3">
        <f>IFERROR((('Raw Data 5Y'!AG10/'Raw Data 5Y'!AF10)^(1/5)-1)*100,"")</f>
        <v/>
      </c>
      <c r="T32" s="3">
        <f>IFERROR((('Raw Data 5Y'!AI10/'Raw Data 5Y'!AH10)^(1/5)-1)*100,"")</f>
        <v/>
      </c>
      <c r="U32" s="3">
        <f>IFERROR((('Raw Data 5Y'!AK10/'Raw Data 5Y'!AJ10)^(1/5)-1)*100,"")</f>
        <v/>
      </c>
      <c r="V32" s="3">
        <f>IF(AND(ISNUMBER(F32),COUNT(F$2:F$46)&gt;=4),IF(F32&gt;=QUARTILE(F$2:F$46,3),1,0),0)+IF(AND(ISNUMBER(G32),COUNT(G$2:G$46)&gt;=4),IF(G32&gt;=QUARTILE(G$2:G$46,3),1,0),0)+IF(AND(ISNUMBER(H32),COUNT(H$2:H$46)&gt;=4),IF(H32&gt;=QUARTILE(H$2:H$46,3),1,0),0)+IF(AND(ISNUMBER(I32),COUNT(I$2:I$46)&gt;=4),IF(I32&gt;=QUARTILE(I$2:I$46,3),1,0),0)+IF(AND(ISNUMBER(J32),COUNT(J$2:J$46)&gt;=4),IF(J32&gt;=QUARTILE(J$2:J$46,3),1,0),0)+IF(AND(ISNUMBER(K32),COUNT(K$2:K$46)&gt;=4),IF(K32&gt;=QUARTILE(K$2:K$46,3),1,0),0)+IF(AND(ISNUMBER(L32),COUNT(L$2:L$46)&gt;=4),IF(L32&gt;=QUARTILE(L$2:L$46,3),1,0),0)+IF(AND(ISNUMBER(M32),COUNT(M$2:M$46)&gt;=4),IF(M32&gt;=QUARTILE(M$2:M$46,3),1,0),0)+IF(AND(ISNUMBER(N32),COUNT(N$2:N$46)&gt;=4),IF(N32&gt;=QUARTILE(N$2:N$46,3),1,0),0)+IF(AND(ISNUMBER(O32),COUNT(O$2:O$46)&gt;=4),IF(O32&gt;=QUARTILE(O$2:O$46,3),1,0),0)+IF(AND(ISNUMBER(P32),COUNT(P$2:P$46)&gt;=4),IF(P32&gt;=QUARTILE(P$2:P$46,3),1,0),0)+IF(AND(ISNUMBER(Q32),COUNT(Q$2:Q$46)&gt;=4),IF(Q32&gt;=QUARTILE(Q$2:Q$46,3),1,0),0)+IF(AND(ISNUMBER(R32),COUNT(R$2:R$46)&gt;=4),IF(R32&gt;=QUARTILE(R$2:R$46,3),1,0),0)+IF(AND(ISNUMBER(S32),COUNT(S$2:S$46)&gt;=4),IF(S32&gt;=QUARTILE(S$2:S$46,3),1,0),0)+IF(AND(ISNUMBER(T32),COUNT(T$2:T$46)&gt;=4),IF(T32&gt;=QUARTILE(T$2:T$46,3),1,0),0)+IF(AND(ISNUMBER(U32),COUNT(U$2:U$46)&gt;=4),IF(U32&gt;=QUARTILE(U$2:U$46,3),1,0),0)</f>
        <v/>
      </c>
      <c r="W32" s="3">
        <f>IF(AND(ISNUMBER(F32),COUNT(F$2:F$46)&gt;=4),IF(F32&lt;=QUARTILE(F$2:F$46,1),1,0),0)+IF(AND(ISNUMBER(G32),COUNT(G$2:G$46)&gt;=4),IF(G32&lt;=QUARTILE(G$2:G$46,1),1,0),0)+IF(AND(ISNUMBER(H32),COUNT(H$2:H$46)&gt;=4),IF(H32&lt;=QUARTILE(H$2:H$46,1),1,0),0)+IF(AND(ISNUMBER(I32),COUNT(I$2:I$46)&gt;=4),IF(I32&lt;=QUARTILE(I$2:I$46,1),1,0),0)+IF(AND(ISNUMBER(J32),COUNT(J$2:J$46)&gt;=4),IF(J32&lt;=QUARTILE(J$2:J$46,1),1,0),0)+IF(AND(ISNUMBER(K32),COUNT(K$2:K$46)&gt;=4),IF(K32&lt;=QUARTILE(K$2:K$46,1),1,0),0)+IF(AND(ISNUMBER(L32),COUNT(L$2:L$46)&gt;=4),IF(L32&lt;=QUARTILE(L$2:L$46,1),1,0),0)+IF(AND(ISNUMBER(M32),COUNT(M$2:M$46)&gt;=4),IF(M32&lt;=QUARTILE(M$2:M$46,1),1,0),0)+IF(AND(ISNUMBER(N32),COUNT(N$2:N$46)&gt;=4),IF(N32&lt;=QUARTILE(N$2:N$46,1),1,0),0)+IF(AND(ISNUMBER(O32),COUNT(O$2:O$46)&gt;=4),IF(O32&lt;=QUARTILE(O$2:O$46,1),1,0),0)+IF(AND(ISNUMBER(P32),COUNT(P$2:P$46)&gt;=4),IF(P32&lt;=QUARTILE(P$2:P$46,1),1,0),0)+IF(AND(ISNUMBER(Q32),COUNT(Q$2:Q$46)&gt;=4),IF(Q32&lt;=QUARTILE(Q$2:Q$46,1),1,0),0)+IF(AND(ISNUMBER(R32),COUNT(R$2:R$46)&gt;=4),IF(R32&lt;=QUARTILE(R$2:R$46,1),1,0),0)+IF(AND(ISNUMBER(S32),COUNT(S$2:S$46)&gt;=4),IF(S32&lt;=QUARTILE(S$2:S$46,1),1,0),0)+IF(AND(ISNUMBER(T32),COUNT(T$2:T$46)&gt;=4),IF(T32&lt;=QUARTILE(T$2:T$46,1),1,0),0)+IF(AND(ISNUMBER(U32),COUNT(U$2:U$46)&gt;=4),IF(U32&lt;=QUARTILE(U$2:U$46,1),1,0),0)</f>
        <v/>
      </c>
      <c r="X32" s="3">
        <f>IF(W32=0,V32,ROUND(V32/W32,2))</f>
        <v/>
      </c>
      <c r="Y32" s="3">
        <f>IFERROR(IF(VLOOKUP(A32,'Raw Data 5Y'!A:AL,38,FALSE)="","none",VLOOKUP(A32,'Raw Data 5Y'!A:AL,38,FALSE)),"none")</f>
        <v/>
      </c>
      <c r="Z32" s="4" t="inlineStr">
        <is>
          <t>Source</t>
        </is>
      </c>
    </row>
    <row r="33">
      <c r="A33">
        <f>'Raw Data 5Y'!A33</f>
        <v/>
      </c>
      <c r="B33" s="3">
        <f>IFERROR((('Raw Data 5Y'!C33/'Raw Data 5Y'!B33)^(1/'Raw Data 5Y'!D33)-1)*100,"")</f>
        <v/>
      </c>
      <c r="C33" s="3">
        <f>'Raw Data 5Y'!E33</f>
        <v/>
      </c>
      <c r="D33" s="3">
        <f>INT('Raw Data 5Y'!D33)</f>
        <v/>
      </c>
      <c r="E33" s="3">
        <f>IFERROR(AVERAGE(F33:U33),"")</f>
        <v/>
      </c>
      <c r="F33" s="3">
        <f>IFERROR((('Raw Data 5Y'!G33/'Raw Data 5Y'!F33)^(1/5)-1)*100,"")</f>
        <v/>
      </c>
      <c r="G33" s="3">
        <f>IFERROR((('Raw Data 5Y'!I33/'Raw Data 5Y'!H33)^(1/5)-1)*100,"")</f>
        <v/>
      </c>
      <c r="H33" s="3">
        <f>IFERROR((('Raw Data 5Y'!K33/'Raw Data 5Y'!J33)^(1/5)-1)*100,"")</f>
        <v/>
      </c>
      <c r="I33" s="3">
        <f>IFERROR((('Raw Data 5Y'!M33/'Raw Data 5Y'!L33)^(1/5)-1)*100,"")</f>
        <v/>
      </c>
      <c r="J33" s="3">
        <f>IFERROR((('Raw Data 5Y'!O33/'Raw Data 5Y'!N33)^(1/5)-1)*100,"")</f>
        <v/>
      </c>
      <c r="K33" s="3">
        <f>IFERROR((('Raw Data 5Y'!Q33/'Raw Data 5Y'!P33)^(1/5)-1)*100,"")</f>
        <v/>
      </c>
      <c r="L33" s="3">
        <f>IFERROR((('Raw Data 5Y'!S33/'Raw Data 5Y'!R33)^(1/5)-1)*100,"")</f>
        <v/>
      </c>
      <c r="M33" s="3">
        <f>IFERROR((('Raw Data 5Y'!U33/'Raw Data 5Y'!T33)^(1/5)-1)*100,"")</f>
        <v/>
      </c>
      <c r="N33" s="3">
        <f>IFERROR((('Raw Data 5Y'!W33/'Raw Data 5Y'!V33)^(1/5)-1)*100,"")</f>
        <v/>
      </c>
      <c r="O33" s="3">
        <f>IFERROR((('Raw Data 5Y'!Y33/'Raw Data 5Y'!X33)^(1/5)-1)*100,"")</f>
        <v/>
      </c>
      <c r="P33" s="3">
        <f>IFERROR((('Raw Data 5Y'!AA33/'Raw Data 5Y'!Z33)^(1/5)-1)*100,"")</f>
        <v/>
      </c>
      <c r="Q33" s="3">
        <f>IFERROR((('Raw Data 5Y'!AC33/'Raw Data 5Y'!AB33)^(1/5)-1)*100,"")</f>
        <v/>
      </c>
      <c r="R33" s="3">
        <f>IFERROR((('Raw Data 5Y'!AE33/'Raw Data 5Y'!AD33)^(1/5)-1)*100,"")</f>
        <v/>
      </c>
      <c r="S33" s="3">
        <f>IFERROR((('Raw Data 5Y'!AG33/'Raw Data 5Y'!AF33)^(1/5)-1)*100,"")</f>
        <v/>
      </c>
      <c r="T33" s="3">
        <f>IFERROR((('Raw Data 5Y'!AI33/'Raw Data 5Y'!AH33)^(1/5)-1)*100,"")</f>
        <v/>
      </c>
      <c r="U33" s="3">
        <f>IFERROR((('Raw Data 5Y'!AK33/'Raw Data 5Y'!AJ33)^(1/5)-1)*100,"")</f>
        <v/>
      </c>
      <c r="V33" s="3">
        <f>IF(AND(ISNUMBER(F33),COUNT(F$2:F$46)&gt;=4),IF(F33&gt;=QUARTILE(F$2:F$46,3),1,0),0)+IF(AND(ISNUMBER(G33),COUNT(G$2:G$46)&gt;=4),IF(G33&gt;=QUARTILE(G$2:G$46,3),1,0),0)+IF(AND(ISNUMBER(H33),COUNT(H$2:H$46)&gt;=4),IF(H33&gt;=QUARTILE(H$2:H$46,3),1,0),0)+IF(AND(ISNUMBER(I33),COUNT(I$2:I$46)&gt;=4),IF(I33&gt;=QUARTILE(I$2:I$46,3),1,0),0)+IF(AND(ISNUMBER(J33),COUNT(J$2:J$46)&gt;=4),IF(J33&gt;=QUARTILE(J$2:J$46,3),1,0),0)+IF(AND(ISNUMBER(K33),COUNT(K$2:K$46)&gt;=4),IF(K33&gt;=QUARTILE(K$2:K$46,3),1,0),0)+IF(AND(ISNUMBER(L33),COUNT(L$2:L$46)&gt;=4),IF(L33&gt;=QUARTILE(L$2:L$46,3),1,0),0)+IF(AND(ISNUMBER(M33),COUNT(M$2:M$46)&gt;=4),IF(M33&gt;=QUARTILE(M$2:M$46,3),1,0),0)+IF(AND(ISNUMBER(N33),COUNT(N$2:N$46)&gt;=4),IF(N33&gt;=QUARTILE(N$2:N$46,3),1,0),0)+IF(AND(ISNUMBER(O33),COUNT(O$2:O$46)&gt;=4),IF(O33&gt;=QUARTILE(O$2:O$46,3),1,0),0)+IF(AND(ISNUMBER(P33),COUNT(P$2:P$46)&gt;=4),IF(P33&gt;=QUARTILE(P$2:P$46,3),1,0),0)+IF(AND(ISNUMBER(Q33),COUNT(Q$2:Q$46)&gt;=4),IF(Q33&gt;=QUARTILE(Q$2:Q$46,3),1,0),0)+IF(AND(ISNUMBER(R33),COUNT(R$2:R$46)&gt;=4),IF(R33&gt;=QUARTILE(R$2:R$46,3),1,0),0)+IF(AND(ISNUMBER(S33),COUNT(S$2:S$46)&gt;=4),IF(S33&gt;=QUARTILE(S$2:S$46,3),1,0),0)+IF(AND(ISNUMBER(T33),COUNT(T$2:T$46)&gt;=4),IF(T33&gt;=QUARTILE(T$2:T$46,3),1,0),0)+IF(AND(ISNUMBER(U33),COUNT(U$2:U$46)&gt;=4),IF(U33&gt;=QUARTILE(U$2:U$46,3),1,0),0)</f>
        <v/>
      </c>
      <c r="W33" s="3">
        <f>IF(AND(ISNUMBER(F33),COUNT(F$2:F$46)&gt;=4),IF(F33&lt;=QUARTILE(F$2:F$46,1),1,0),0)+IF(AND(ISNUMBER(G33),COUNT(G$2:G$46)&gt;=4),IF(G33&lt;=QUARTILE(G$2:G$46,1),1,0),0)+IF(AND(ISNUMBER(H33),COUNT(H$2:H$46)&gt;=4),IF(H33&lt;=QUARTILE(H$2:H$46,1),1,0),0)+IF(AND(ISNUMBER(I33),COUNT(I$2:I$46)&gt;=4),IF(I33&lt;=QUARTILE(I$2:I$46,1),1,0),0)+IF(AND(ISNUMBER(J33),COUNT(J$2:J$46)&gt;=4),IF(J33&lt;=QUARTILE(J$2:J$46,1),1,0),0)+IF(AND(ISNUMBER(K33),COUNT(K$2:K$46)&gt;=4),IF(K33&lt;=QUARTILE(K$2:K$46,1),1,0),0)+IF(AND(ISNUMBER(L33),COUNT(L$2:L$46)&gt;=4),IF(L33&lt;=QUARTILE(L$2:L$46,1),1,0),0)+IF(AND(ISNUMBER(M33),COUNT(M$2:M$46)&gt;=4),IF(M33&lt;=QUARTILE(M$2:M$46,1),1,0),0)+IF(AND(ISNUMBER(N33),COUNT(N$2:N$46)&gt;=4),IF(N33&lt;=QUARTILE(N$2:N$46,1),1,0),0)+IF(AND(ISNUMBER(O33),COUNT(O$2:O$46)&gt;=4),IF(O33&lt;=QUARTILE(O$2:O$46,1),1,0),0)+IF(AND(ISNUMBER(P33),COUNT(P$2:P$46)&gt;=4),IF(P33&lt;=QUARTILE(P$2:P$46,1),1,0),0)+IF(AND(ISNUMBER(Q33),COUNT(Q$2:Q$46)&gt;=4),IF(Q33&lt;=QUARTILE(Q$2:Q$46,1),1,0),0)+IF(AND(ISNUMBER(R33),COUNT(R$2:R$46)&gt;=4),IF(R33&lt;=QUARTILE(R$2:R$46,1),1,0),0)+IF(AND(ISNUMBER(S33),COUNT(S$2:S$46)&gt;=4),IF(S33&lt;=QUARTILE(S$2:S$46,1),1,0),0)+IF(AND(ISNUMBER(T33),COUNT(T$2:T$46)&gt;=4),IF(T33&lt;=QUARTILE(T$2:T$46,1),1,0),0)+IF(AND(ISNUMBER(U33),COUNT(U$2:U$46)&gt;=4),IF(U33&lt;=QUARTILE(U$2:U$46,1),1,0),0)</f>
        <v/>
      </c>
      <c r="X33" s="3">
        <f>IF(W33=0,V33,ROUND(V33/W33,2))</f>
        <v/>
      </c>
      <c r="Y33" s="3">
        <f>IFERROR(IF(VLOOKUP(A33,'Raw Data 5Y'!A:AL,38,FALSE)="","none",VLOOKUP(A33,'Raw Data 5Y'!A:AL,38,FALSE)),"none")</f>
        <v/>
      </c>
      <c r="Z33" s="4" t="inlineStr">
        <is>
          <t>Source</t>
        </is>
      </c>
    </row>
    <row r="34">
      <c r="A34">
        <f>'Raw Data 5Y'!A4</f>
        <v/>
      </c>
      <c r="B34" s="3">
        <f>IFERROR((('Raw Data 5Y'!C4/'Raw Data 5Y'!B4)^(1/'Raw Data 5Y'!D4)-1)*100,"")</f>
        <v/>
      </c>
      <c r="C34" s="3">
        <f>'Raw Data 5Y'!E4</f>
        <v/>
      </c>
      <c r="D34" s="3">
        <f>INT('Raw Data 5Y'!D4)</f>
        <v/>
      </c>
      <c r="E34" s="3">
        <f>IFERROR(AVERAGE(F34:U34),"")</f>
        <v/>
      </c>
      <c r="F34" s="3">
        <f>IFERROR((('Raw Data 5Y'!G4/'Raw Data 5Y'!F4)^(1/5)-1)*100,"")</f>
        <v/>
      </c>
      <c r="G34" s="3">
        <f>IFERROR((('Raw Data 5Y'!I4/'Raw Data 5Y'!H4)^(1/5)-1)*100,"")</f>
        <v/>
      </c>
      <c r="H34" s="3">
        <f>IFERROR((('Raw Data 5Y'!K4/'Raw Data 5Y'!J4)^(1/5)-1)*100,"")</f>
        <v/>
      </c>
      <c r="I34" s="3">
        <f>IFERROR((('Raw Data 5Y'!M4/'Raw Data 5Y'!L4)^(1/5)-1)*100,"")</f>
        <v/>
      </c>
      <c r="J34" s="3">
        <f>IFERROR((('Raw Data 5Y'!O4/'Raw Data 5Y'!N4)^(1/5)-1)*100,"")</f>
        <v/>
      </c>
      <c r="K34" s="3">
        <f>IFERROR((('Raw Data 5Y'!Q4/'Raw Data 5Y'!P4)^(1/5)-1)*100,"")</f>
        <v/>
      </c>
      <c r="L34" s="3">
        <f>IFERROR((('Raw Data 5Y'!S4/'Raw Data 5Y'!R4)^(1/5)-1)*100,"")</f>
        <v/>
      </c>
      <c r="M34" s="3">
        <f>IFERROR((('Raw Data 5Y'!U4/'Raw Data 5Y'!T4)^(1/5)-1)*100,"")</f>
        <v/>
      </c>
      <c r="N34" s="3">
        <f>IFERROR((('Raw Data 5Y'!W4/'Raw Data 5Y'!V4)^(1/5)-1)*100,"")</f>
        <v/>
      </c>
      <c r="O34" s="3">
        <f>IFERROR((('Raw Data 5Y'!Y4/'Raw Data 5Y'!X4)^(1/5)-1)*100,"")</f>
        <v/>
      </c>
      <c r="P34" s="3">
        <f>IFERROR((('Raw Data 5Y'!AA4/'Raw Data 5Y'!Z4)^(1/5)-1)*100,"")</f>
        <v/>
      </c>
      <c r="Q34" s="3">
        <f>IFERROR((('Raw Data 5Y'!AC4/'Raw Data 5Y'!AB4)^(1/5)-1)*100,"")</f>
        <v/>
      </c>
      <c r="R34" s="3">
        <f>IFERROR((('Raw Data 5Y'!AE4/'Raw Data 5Y'!AD4)^(1/5)-1)*100,"")</f>
        <v/>
      </c>
      <c r="S34" s="3">
        <f>IFERROR((('Raw Data 5Y'!AG4/'Raw Data 5Y'!AF4)^(1/5)-1)*100,"")</f>
        <v/>
      </c>
      <c r="T34" s="3">
        <f>IFERROR((('Raw Data 5Y'!AI4/'Raw Data 5Y'!AH4)^(1/5)-1)*100,"")</f>
        <v/>
      </c>
      <c r="U34" s="3">
        <f>IFERROR((('Raw Data 5Y'!AK4/'Raw Data 5Y'!AJ4)^(1/5)-1)*100,"")</f>
        <v/>
      </c>
      <c r="V34" s="3">
        <f>IF(AND(ISNUMBER(F34),COUNT(F$2:F$46)&gt;=4),IF(F34&gt;=QUARTILE(F$2:F$46,3),1,0),0)+IF(AND(ISNUMBER(G34),COUNT(G$2:G$46)&gt;=4),IF(G34&gt;=QUARTILE(G$2:G$46,3),1,0),0)+IF(AND(ISNUMBER(H34),COUNT(H$2:H$46)&gt;=4),IF(H34&gt;=QUARTILE(H$2:H$46,3),1,0),0)+IF(AND(ISNUMBER(I34),COUNT(I$2:I$46)&gt;=4),IF(I34&gt;=QUARTILE(I$2:I$46,3),1,0),0)+IF(AND(ISNUMBER(J34),COUNT(J$2:J$46)&gt;=4),IF(J34&gt;=QUARTILE(J$2:J$46,3),1,0),0)+IF(AND(ISNUMBER(K34),COUNT(K$2:K$46)&gt;=4),IF(K34&gt;=QUARTILE(K$2:K$46,3),1,0),0)+IF(AND(ISNUMBER(L34),COUNT(L$2:L$46)&gt;=4),IF(L34&gt;=QUARTILE(L$2:L$46,3),1,0),0)+IF(AND(ISNUMBER(M34),COUNT(M$2:M$46)&gt;=4),IF(M34&gt;=QUARTILE(M$2:M$46,3),1,0),0)+IF(AND(ISNUMBER(N34),COUNT(N$2:N$46)&gt;=4),IF(N34&gt;=QUARTILE(N$2:N$46,3),1,0),0)+IF(AND(ISNUMBER(O34),COUNT(O$2:O$46)&gt;=4),IF(O34&gt;=QUARTILE(O$2:O$46,3),1,0),0)+IF(AND(ISNUMBER(P34),COUNT(P$2:P$46)&gt;=4),IF(P34&gt;=QUARTILE(P$2:P$46,3),1,0),0)+IF(AND(ISNUMBER(Q34),COUNT(Q$2:Q$46)&gt;=4),IF(Q34&gt;=QUARTILE(Q$2:Q$46,3),1,0),0)+IF(AND(ISNUMBER(R34),COUNT(R$2:R$46)&gt;=4),IF(R34&gt;=QUARTILE(R$2:R$46,3),1,0),0)+IF(AND(ISNUMBER(S34),COUNT(S$2:S$46)&gt;=4),IF(S34&gt;=QUARTILE(S$2:S$46,3),1,0),0)+IF(AND(ISNUMBER(T34),COUNT(T$2:T$46)&gt;=4),IF(T34&gt;=QUARTILE(T$2:T$46,3),1,0),0)+IF(AND(ISNUMBER(U34),COUNT(U$2:U$46)&gt;=4),IF(U34&gt;=QUARTILE(U$2:U$46,3),1,0),0)</f>
        <v/>
      </c>
      <c r="W34" s="3">
        <f>IF(AND(ISNUMBER(F34),COUNT(F$2:F$46)&gt;=4),IF(F34&lt;=QUARTILE(F$2:F$46,1),1,0),0)+IF(AND(ISNUMBER(G34),COUNT(G$2:G$46)&gt;=4),IF(G34&lt;=QUARTILE(G$2:G$46,1),1,0),0)+IF(AND(ISNUMBER(H34),COUNT(H$2:H$46)&gt;=4),IF(H34&lt;=QUARTILE(H$2:H$46,1),1,0),0)+IF(AND(ISNUMBER(I34),COUNT(I$2:I$46)&gt;=4),IF(I34&lt;=QUARTILE(I$2:I$46,1),1,0),0)+IF(AND(ISNUMBER(J34),COUNT(J$2:J$46)&gt;=4),IF(J34&lt;=QUARTILE(J$2:J$46,1),1,0),0)+IF(AND(ISNUMBER(K34),COUNT(K$2:K$46)&gt;=4),IF(K34&lt;=QUARTILE(K$2:K$46,1),1,0),0)+IF(AND(ISNUMBER(L34),COUNT(L$2:L$46)&gt;=4),IF(L34&lt;=QUARTILE(L$2:L$46,1),1,0),0)+IF(AND(ISNUMBER(M34),COUNT(M$2:M$46)&gt;=4),IF(M34&lt;=QUARTILE(M$2:M$46,1),1,0),0)+IF(AND(ISNUMBER(N34),COUNT(N$2:N$46)&gt;=4),IF(N34&lt;=QUARTILE(N$2:N$46,1),1,0),0)+IF(AND(ISNUMBER(O34),COUNT(O$2:O$46)&gt;=4),IF(O34&lt;=QUARTILE(O$2:O$46,1),1,0),0)+IF(AND(ISNUMBER(P34),COUNT(P$2:P$46)&gt;=4),IF(P34&lt;=QUARTILE(P$2:P$46,1),1,0),0)+IF(AND(ISNUMBER(Q34),COUNT(Q$2:Q$46)&gt;=4),IF(Q34&lt;=QUARTILE(Q$2:Q$46,1),1,0),0)+IF(AND(ISNUMBER(R34),COUNT(R$2:R$46)&gt;=4),IF(R34&lt;=QUARTILE(R$2:R$46,1),1,0),0)+IF(AND(ISNUMBER(S34),COUNT(S$2:S$46)&gt;=4),IF(S34&lt;=QUARTILE(S$2:S$46,1),1,0),0)+IF(AND(ISNUMBER(T34),COUNT(T$2:T$46)&gt;=4),IF(T34&lt;=QUARTILE(T$2:T$46,1),1,0),0)+IF(AND(ISNUMBER(U34),COUNT(U$2:U$46)&gt;=4),IF(U34&lt;=QUARTILE(U$2:U$46,1),1,0),0)</f>
        <v/>
      </c>
      <c r="X34" s="3">
        <f>IF(W34=0,V34,ROUND(V34/W34,2))</f>
        <v/>
      </c>
      <c r="Y34" s="3">
        <f>IFERROR(IF(VLOOKUP(A34,'Raw Data 5Y'!A:AL,38,FALSE)="","none",VLOOKUP(A34,'Raw Data 5Y'!A:AL,38,FALSE)),"none")</f>
        <v/>
      </c>
      <c r="Z34" s="4" t="inlineStr">
        <is>
          <t>Source</t>
        </is>
      </c>
    </row>
    <row r="35">
      <c r="A35">
        <f>'Raw Data 5Y'!A37</f>
        <v/>
      </c>
      <c r="B35" s="3">
        <f>IFERROR((('Raw Data 5Y'!C37/'Raw Data 5Y'!B37)^(1/'Raw Data 5Y'!D37)-1)*100,"")</f>
        <v/>
      </c>
      <c r="C35" s="3">
        <f>'Raw Data 5Y'!E37</f>
        <v/>
      </c>
      <c r="D35" s="3">
        <f>INT('Raw Data 5Y'!D37)</f>
        <v/>
      </c>
      <c r="E35" s="3">
        <f>IFERROR(AVERAGE(F35:U35),"")</f>
        <v/>
      </c>
      <c r="F35" s="3">
        <f>IFERROR((('Raw Data 5Y'!G37/'Raw Data 5Y'!F37)^(1/5)-1)*100,"")</f>
        <v/>
      </c>
      <c r="G35" s="3">
        <f>IFERROR((('Raw Data 5Y'!I37/'Raw Data 5Y'!H37)^(1/5)-1)*100,"")</f>
        <v/>
      </c>
      <c r="H35" s="3">
        <f>IFERROR((('Raw Data 5Y'!K37/'Raw Data 5Y'!J37)^(1/5)-1)*100,"")</f>
        <v/>
      </c>
      <c r="I35" s="3">
        <f>IFERROR((('Raw Data 5Y'!M37/'Raw Data 5Y'!L37)^(1/5)-1)*100,"")</f>
        <v/>
      </c>
      <c r="J35" s="3">
        <f>IFERROR((('Raw Data 5Y'!O37/'Raw Data 5Y'!N37)^(1/5)-1)*100,"")</f>
        <v/>
      </c>
      <c r="K35" s="3">
        <f>IFERROR((('Raw Data 5Y'!Q37/'Raw Data 5Y'!P37)^(1/5)-1)*100,"")</f>
        <v/>
      </c>
      <c r="L35" s="3">
        <f>IFERROR((('Raw Data 5Y'!S37/'Raw Data 5Y'!R37)^(1/5)-1)*100,"")</f>
        <v/>
      </c>
      <c r="M35" s="3">
        <f>IFERROR((('Raw Data 5Y'!U37/'Raw Data 5Y'!T37)^(1/5)-1)*100,"")</f>
        <v/>
      </c>
      <c r="N35" s="3">
        <f>IFERROR((('Raw Data 5Y'!W37/'Raw Data 5Y'!V37)^(1/5)-1)*100,"")</f>
        <v/>
      </c>
      <c r="O35" s="3">
        <f>IFERROR((('Raw Data 5Y'!Y37/'Raw Data 5Y'!X37)^(1/5)-1)*100,"")</f>
        <v/>
      </c>
      <c r="P35" s="3">
        <f>IFERROR((('Raw Data 5Y'!AA37/'Raw Data 5Y'!Z37)^(1/5)-1)*100,"")</f>
        <v/>
      </c>
      <c r="Q35" s="3">
        <f>IFERROR((('Raw Data 5Y'!AC37/'Raw Data 5Y'!AB37)^(1/5)-1)*100,"")</f>
        <v/>
      </c>
      <c r="R35" s="3">
        <f>IFERROR((('Raw Data 5Y'!AE37/'Raw Data 5Y'!AD37)^(1/5)-1)*100,"")</f>
        <v/>
      </c>
      <c r="S35" s="3">
        <f>IFERROR((('Raw Data 5Y'!AG37/'Raw Data 5Y'!AF37)^(1/5)-1)*100,"")</f>
        <v/>
      </c>
      <c r="T35" s="3">
        <f>IFERROR((('Raw Data 5Y'!AI37/'Raw Data 5Y'!AH37)^(1/5)-1)*100,"")</f>
        <v/>
      </c>
      <c r="U35" s="3">
        <f>IFERROR((('Raw Data 5Y'!AK37/'Raw Data 5Y'!AJ37)^(1/5)-1)*100,"")</f>
        <v/>
      </c>
      <c r="V35" s="3">
        <f>IF(AND(ISNUMBER(F35),COUNT(F$2:F$46)&gt;=4),IF(F35&gt;=QUARTILE(F$2:F$46,3),1,0),0)+IF(AND(ISNUMBER(G35),COUNT(G$2:G$46)&gt;=4),IF(G35&gt;=QUARTILE(G$2:G$46,3),1,0),0)+IF(AND(ISNUMBER(H35),COUNT(H$2:H$46)&gt;=4),IF(H35&gt;=QUARTILE(H$2:H$46,3),1,0),0)+IF(AND(ISNUMBER(I35),COUNT(I$2:I$46)&gt;=4),IF(I35&gt;=QUARTILE(I$2:I$46,3),1,0),0)+IF(AND(ISNUMBER(J35),COUNT(J$2:J$46)&gt;=4),IF(J35&gt;=QUARTILE(J$2:J$46,3),1,0),0)+IF(AND(ISNUMBER(K35),COUNT(K$2:K$46)&gt;=4),IF(K35&gt;=QUARTILE(K$2:K$46,3),1,0),0)+IF(AND(ISNUMBER(L35),COUNT(L$2:L$46)&gt;=4),IF(L35&gt;=QUARTILE(L$2:L$46,3),1,0),0)+IF(AND(ISNUMBER(M35),COUNT(M$2:M$46)&gt;=4),IF(M35&gt;=QUARTILE(M$2:M$46,3),1,0),0)+IF(AND(ISNUMBER(N35),COUNT(N$2:N$46)&gt;=4),IF(N35&gt;=QUARTILE(N$2:N$46,3),1,0),0)+IF(AND(ISNUMBER(O35),COUNT(O$2:O$46)&gt;=4),IF(O35&gt;=QUARTILE(O$2:O$46,3),1,0),0)+IF(AND(ISNUMBER(P35),COUNT(P$2:P$46)&gt;=4),IF(P35&gt;=QUARTILE(P$2:P$46,3),1,0),0)+IF(AND(ISNUMBER(Q35),COUNT(Q$2:Q$46)&gt;=4),IF(Q35&gt;=QUARTILE(Q$2:Q$46,3),1,0),0)+IF(AND(ISNUMBER(R35),COUNT(R$2:R$46)&gt;=4),IF(R35&gt;=QUARTILE(R$2:R$46,3),1,0),0)+IF(AND(ISNUMBER(S35),COUNT(S$2:S$46)&gt;=4),IF(S35&gt;=QUARTILE(S$2:S$46,3),1,0),0)+IF(AND(ISNUMBER(T35),COUNT(T$2:T$46)&gt;=4),IF(T35&gt;=QUARTILE(T$2:T$46,3),1,0),0)+IF(AND(ISNUMBER(U35),COUNT(U$2:U$46)&gt;=4),IF(U35&gt;=QUARTILE(U$2:U$46,3),1,0),0)</f>
        <v/>
      </c>
      <c r="W35" s="3">
        <f>IF(AND(ISNUMBER(F35),COUNT(F$2:F$46)&gt;=4),IF(F35&lt;=QUARTILE(F$2:F$46,1),1,0),0)+IF(AND(ISNUMBER(G35),COUNT(G$2:G$46)&gt;=4),IF(G35&lt;=QUARTILE(G$2:G$46,1),1,0),0)+IF(AND(ISNUMBER(H35),COUNT(H$2:H$46)&gt;=4),IF(H35&lt;=QUARTILE(H$2:H$46,1),1,0),0)+IF(AND(ISNUMBER(I35),COUNT(I$2:I$46)&gt;=4),IF(I35&lt;=QUARTILE(I$2:I$46,1),1,0),0)+IF(AND(ISNUMBER(J35),COUNT(J$2:J$46)&gt;=4),IF(J35&lt;=QUARTILE(J$2:J$46,1),1,0),0)+IF(AND(ISNUMBER(K35),COUNT(K$2:K$46)&gt;=4),IF(K35&lt;=QUARTILE(K$2:K$46,1),1,0),0)+IF(AND(ISNUMBER(L35),COUNT(L$2:L$46)&gt;=4),IF(L35&lt;=QUARTILE(L$2:L$46,1),1,0),0)+IF(AND(ISNUMBER(M35),COUNT(M$2:M$46)&gt;=4),IF(M35&lt;=QUARTILE(M$2:M$46,1),1,0),0)+IF(AND(ISNUMBER(N35),COUNT(N$2:N$46)&gt;=4),IF(N35&lt;=QUARTILE(N$2:N$46,1),1,0),0)+IF(AND(ISNUMBER(O35),COUNT(O$2:O$46)&gt;=4),IF(O35&lt;=QUARTILE(O$2:O$46,1),1,0),0)+IF(AND(ISNUMBER(P35),COUNT(P$2:P$46)&gt;=4),IF(P35&lt;=QUARTILE(P$2:P$46,1),1,0),0)+IF(AND(ISNUMBER(Q35),COUNT(Q$2:Q$46)&gt;=4),IF(Q35&lt;=QUARTILE(Q$2:Q$46,1),1,0),0)+IF(AND(ISNUMBER(R35),COUNT(R$2:R$46)&gt;=4),IF(R35&lt;=QUARTILE(R$2:R$46,1),1,0),0)+IF(AND(ISNUMBER(S35),COUNT(S$2:S$46)&gt;=4),IF(S35&lt;=QUARTILE(S$2:S$46,1),1,0),0)+IF(AND(ISNUMBER(T35),COUNT(T$2:T$46)&gt;=4),IF(T35&lt;=QUARTILE(T$2:T$46,1),1,0),0)+IF(AND(ISNUMBER(U35),COUNT(U$2:U$46)&gt;=4),IF(U35&lt;=QUARTILE(U$2:U$46,1),1,0),0)</f>
        <v/>
      </c>
      <c r="X35" s="3">
        <f>IF(W35=0,V35,ROUND(V35/W35,2))</f>
        <v/>
      </c>
      <c r="Y35" s="3">
        <f>IFERROR(IF(VLOOKUP(A35,'Raw Data 5Y'!A:AL,38,FALSE)="","none",VLOOKUP(A35,'Raw Data 5Y'!A:AL,38,FALSE)),"none")</f>
        <v/>
      </c>
      <c r="Z35" s="4" t="inlineStr">
        <is>
          <t>Source</t>
        </is>
      </c>
    </row>
    <row r="36">
      <c r="A36">
        <f>'Raw Data 5Y'!A32</f>
        <v/>
      </c>
      <c r="B36" s="3">
        <f>IFERROR((('Raw Data 5Y'!C32/'Raw Data 5Y'!B32)^(1/'Raw Data 5Y'!D32)-1)*100,"")</f>
        <v/>
      </c>
      <c r="C36" s="3">
        <f>'Raw Data 5Y'!E32</f>
        <v/>
      </c>
      <c r="D36" s="3">
        <f>INT('Raw Data 5Y'!D32)</f>
        <v/>
      </c>
      <c r="E36" s="3">
        <f>IFERROR(AVERAGE(F36:U36),"")</f>
        <v/>
      </c>
      <c r="F36" s="3">
        <f>IFERROR((('Raw Data 5Y'!G32/'Raw Data 5Y'!F32)^(1/5)-1)*100,"")</f>
        <v/>
      </c>
      <c r="G36" s="3">
        <f>IFERROR((('Raw Data 5Y'!I32/'Raw Data 5Y'!H32)^(1/5)-1)*100,"")</f>
        <v/>
      </c>
      <c r="H36" s="3">
        <f>IFERROR((('Raw Data 5Y'!K32/'Raw Data 5Y'!J32)^(1/5)-1)*100,"")</f>
        <v/>
      </c>
      <c r="I36" s="3">
        <f>IFERROR((('Raw Data 5Y'!M32/'Raw Data 5Y'!L32)^(1/5)-1)*100,"")</f>
        <v/>
      </c>
      <c r="J36" s="3">
        <f>IFERROR((('Raw Data 5Y'!O32/'Raw Data 5Y'!N32)^(1/5)-1)*100,"")</f>
        <v/>
      </c>
      <c r="K36" s="3">
        <f>IFERROR((('Raw Data 5Y'!Q32/'Raw Data 5Y'!P32)^(1/5)-1)*100,"")</f>
        <v/>
      </c>
      <c r="L36" s="3">
        <f>IFERROR((('Raw Data 5Y'!S32/'Raw Data 5Y'!R32)^(1/5)-1)*100,"")</f>
        <v/>
      </c>
      <c r="M36" s="3">
        <f>IFERROR((('Raw Data 5Y'!U32/'Raw Data 5Y'!T32)^(1/5)-1)*100,"")</f>
        <v/>
      </c>
      <c r="N36" s="3">
        <f>IFERROR((('Raw Data 5Y'!W32/'Raw Data 5Y'!V32)^(1/5)-1)*100,"")</f>
        <v/>
      </c>
      <c r="O36" s="3">
        <f>IFERROR((('Raw Data 5Y'!Y32/'Raw Data 5Y'!X32)^(1/5)-1)*100,"")</f>
        <v/>
      </c>
      <c r="P36" s="3">
        <f>IFERROR((('Raw Data 5Y'!AA32/'Raw Data 5Y'!Z32)^(1/5)-1)*100,"")</f>
        <v/>
      </c>
      <c r="Q36" s="3">
        <f>IFERROR((('Raw Data 5Y'!AC32/'Raw Data 5Y'!AB32)^(1/5)-1)*100,"")</f>
        <v/>
      </c>
      <c r="R36" s="3">
        <f>IFERROR((('Raw Data 5Y'!AE32/'Raw Data 5Y'!AD32)^(1/5)-1)*100,"")</f>
        <v/>
      </c>
      <c r="S36" s="3">
        <f>IFERROR((('Raw Data 5Y'!AG32/'Raw Data 5Y'!AF32)^(1/5)-1)*100,"")</f>
        <v/>
      </c>
      <c r="T36" s="3">
        <f>IFERROR((('Raw Data 5Y'!AI32/'Raw Data 5Y'!AH32)^(1/5)-1)*100,"")</f>
        <v/>
      </c>
      <c r="U36" s="3">
        <f>IFERROR((('Raw Data 5Y'!AK32/'Raw Data 5Y'!AJ32)^(1/5)-1)*100,"")</f>
        <v/>
      </c>
      <c r="V36" s="3">
        <f>IF(AND(ISNUMBER(F36),COUNT(F$2:F$46)&gt;=4),IF(F36&gt;=QUARTILE(F$2:F$46,3),1,0),0)+IF(AND(ISNUMBER(G36),COUNT(G$2:G$46)&gt;=4),IF(G36&gt;=QUARTILE(G$2:G$46,3),1,0),0)+IF(AND(ISNUMBER(H36),COUNT(H$2:H$46)&gt;=4),IF(H36&gt;=QUARTILE(H$2:H$46,3),1,0),0)+IF(AND(ISNUMBER(I36),COUNT(I$2:I$46)&gt;=4),IF(I36&gt;=QUARTILE(I$2:I$46,3),1,0),0)+IF(AND(ISNUMBER(J36),COUNT(J$2:J$46)&gt;=4),IF(J36&gt;=QUARTILE(J$2:J$46,3),1,0),0)+IF(AND(ISNUMBER(K36),COUNT(K$2:K$46)&gt;=4),IF(K36&gt;=QUARTILE(K$2:K$46,3),1,0),0)+IF(AND(ISNUMBER(L36),COUNT(L$2:L$46)&gt;=4),IF(L36&gt;=QUARTILE(L$2:L$46,3),1,0),0)+IF(AND(ISNUMBER(M36),COUNT(M$2:M$46)&gt;=4),IF(M36&gt;=QUARTILE(M$2:M$46,3),1,0),0)+IF(AND(ISNUMBER(N36),COUNT(N$2:N$46)&gt;=4),IF(N36&gt;=QUARTILE(N$2:N$46,3),1,0),0)+IF(AND(ISNUMBER(O36),COUNT(O$2:O$46)&gt;=4),IF(O36&gt;=QUARTILE(O$2:O$46,3),1,0),0)+IF(AND(ISNUMBER(P36),COUNT(P$2:P$46)&gt;=4),IF(P36&gt;=QUARTILE(P$2:P$46,3),1,0),0)+IF(AND(ISNUMBER(Q36),COUNT(Q$2:Q$46)&gt;=4),IF(Q36&gt;=QUARTILE(Q$2:Q$46,3),1,0),0)+IF(AND(ISNUMBER(R36),COUNT(R$2:R$46)&gt;=4),IF(R36&gt;=QUARTILE(R$2:R$46,3),1,0),0)+IF(AND(ISNUMBER(S36),COUNT(S$2:S$46)&gt;=4),IF(S36&gt;=QUARTILE(S$2:S$46,3),1,0),0)+IF(AND(ISNUMBER(T36),COUNT(T$2:T$46)&gt;=4),IF(T36&gt;=QUARTILE(T$2:T$46,3),1,0),0)+IF(AND(ISNUMBER(U36),COUNT(U$2:U$46)&gt;=4),IF(U36&gt;=QUARTILE(U$2:U$46,3),1,0),0)</f>
        <v/>
      </c>
      <c r="W36" s="3">
        <f>IF(AND(ISNUMBER(F36),COUNT(F$2:F$46)&gt;=4),IF(F36&lt;=QUARTILE(F$2:F$46,1),1,0),0)+IF(AND(ISNUMBER(G36),COUNT(G$2:G$46)&gt;=4),IF(G36&lt;=QUARTILE(G$2:G$46,1),1,0),0)+IF(AND(ISNUMBER(H36),COUNT(H$2:H$46)&gt;=4),IF(H36&lt;=QUARTILE(H$2:H$46,1),1,0),0)+IF(AND(ISNUMBER(I36),COUNT(I$2:I$46)&gt;=4),IF(I36&lt;=QUARTILE(I$2:I$46,1),1,0),0)+IF(AND(ISNUMBER(J36),COUNT(J$2:J$46)&gt;=4),IF(J36&lt;=QUARTILE(J$2:J$46,1),1,0),0)+IF(AND(ISNUMBER(K36),COUNT(K$2:K$46)&gt;=4),IF(K36&lt;=QUARTILE(K$2:K$46,1),1,0),0)+IF(AND(ISNUMBER(L36),COUNT(L$2:L$46)&gt;=4),IF(L36&lt;=QUARTILE(L$2:L$46,1),1,0),0)+IF(AND(ISNUMBER(M36),COUNT(M$2:M$46)&gt;=4),IF(M36&lt;=QUARTILE(M$2:M$46,1),1,0),0)+IF(AND(ISNUMBER(N36),COUNT(N$2:N$46)&gt;=4),IF(N36&lt;=QUARTILE(N$2:N$46,1),1,0),0)+IF(AND(ISNUMBER(O36),COUNT(O$2:O$46)&gt;=4),IF(O36&lt;=QUARTILE(O$2:O$46,1),1,0),0)+IF(AND(ISNUMBER(P36),COUNT(P$2:P$46)&gt;=4),IF(P36&lt;=QUARTILE(P$2:P$46,1),1,0),0)+IF(AND(ISNUMBER(Q36),COUNT(Q$2:Q$46)&gt;=4),IF(Q36&lt;=QUARTILE(Q$2:Q$46,1),1,0),0)+IF(AND(ISNUMBER(R36),COUNT(R$2:R$46)&gt;=4),IF(R36&lt;=QUARTILE(R$2:R$46,1),1,0),0)+IF(AND(ISNUMBER(S36),COUNT(S$2:S$46)&gt;=4),IF(S36&lt;=QUARTILE(S$2:S$46,1),1,0),0)+IF(AND(ISNUMBER(T36),COUNT(T$2:T$46)&gt;=4),IF(T36&lt;=QUARTILE(T$2:T$46,1),1,0),0)+IF(AND(ISNUMBER(U36),COUNT(U$2:U$46)&gt;=4),IF(U36&lt;=QUARTILE(U$2:U$46,1),1,0),0)</f>
        <v/>
      </c>
      <c r="X36" s="3">
        <f>IF(W36=0,V36,ROUND(V36/W36,2))</f>
        <v/>
      </c>
      <c r="Y36" s="3">
        <f>IFERROR(IF(VLOOKUP(A36,'Raw Data 5Y'!A:AL,38,FALSE)="","none",VLOOKUP(A36,'Raw Data 5Y'!A:AL,38,FALSE)),"none")</f>
        <v/>
      </c>
      <c r="Z36" s="4" t="inlineStr">
        <is>
          <t>Source</t>
        </is>
      </c>
    </row>
    <row r="37">
      <c r="A37">
        <f>'Raw Data 5Y'!A34</f>
        <v/>
      </c>
      <c r="B37" s="3">
        <f>IFERROR((('Raw Data 5Y'!C34/'Raw Data 5Y'!B34)^(1/'Raw Data 5Y'!D34)-1)*100,"")</f>
        <v/>
      </c>
      <c r="C37" s="3">
        <f>'Raw Data 5Y'!E34</f>
        <v/>
      </c>
      <c r="D37" s="3">
        <f>INT('Raw Data 5Y'!D34)</f>
        <v/>
      </c>
      <c r="E37" s="3">
        <f>IFERROR(AVERAGE(F37:U37),"")</f>
        <v/>
      </c>
      <c r="F37" s="3">
        <f>IFERROR((('Raw Data 5Y'!G34/'Raw Data 5Y'!F34)^(1/5)-1)*100,"")</f>
        <v/>
      </c>
      <c r="G37" s="3">
        <f>IFERROR((('Raw Data 5Y'!I34/'Raw Data 5Y'!H34)^(1/5)-1)*100,"")</f>
        <v/>
      </c>
      <c r="H37" s="3">
        <f>IFERROR((('Raw Data 5Y'!K34/'Raw Data 5Y'!J34)^(1/5)-1)*100,"")</f>
        <v/>
      </c>
      <c r="I37" s="3">
        <f>IFERROR((('Raw Data 5Y'!M34/'Raw Data 5Y'!L34)^(1/5)-1)*100,"")</f>
        <v/>
      </c>
      <c r="J37" s="3">
        <f>IFERROR((('Raw Data 5Y'!O34/'Raw Data 5Y'!N34)^(1/5)-1)*100,"")</f>
        <v/>
      </c>
      <c r="K37" s="3">
        <f>IFERROR((('Raw Data 5Y'!Q34/'Raw Data 5Y'!P34)^(1/5)-1)*100,"")</f>
        <v/>
      </c>
      <c r="L37" s="3">
        <f>IFERROR((('Raw Data 5Y'!S34/'Raw Data 5Y'!R34)^(1/5)-1)*100,"")</f>
        <v/>
      </c>
      <c r="M37" s="3">
        <f>IFERROR((('Raw Data 5Y'!U34/'Raw Data 5Y'!T34)^(1/5)-1)*100,"")</f>
        <v/>
      </c>
      <c r="N37" s="3">
        <f>IFERROR((('Raw Data 5Y'!W34/'Raw Data 5Y'!V34)^(1/5)-1)*100,"")</f>
        <v/>
      </c>
      <c r="O37" s="3">
        <f>IFERROR((('Raw Data 5Y'!Y34/'Raw Data 5Y'!X34)^(1/5)-1)*100,"")</f>
        <v/>
      </c>
      <c r="P37" s="3">
        <f>IFERROR((('Raw Data 5Y'!AA34/'Raw Data 5Y'!Z34)^(1/5)-1)*100,"")</f>
        <v/>
      </c>
      <c r="Q37" s="3">
        <f>IFERROR((('Raw Data 5Y'!AC34/'Raw Data 5Y'!AB34)^(1/5)-1)*100,"")</f>
        <v/>
      </c>
      <c r="R37" s="3">
        <f>IFERROR((('Raw Data 5Y'!AE34/'Raw Data 5Y'!AD34)^(1/5)-1)*100,"")</f>
        <v/>
      </c>
      <c r="S37" s="3">
        <f>IFERROR((('Raw Data 5Y'!AG34/'Raw Data 5Y'!AF34)^(1/5)-1)*100,"")</f>
        <v/>
      </c>
      <c r="T37" s="3">
        <f>IFERROR((('Raw Data 5Y'!AI34/'Raw Data 5Y'!AH34)^(1/5)-1)*100,"")</f>
        <v/>
      </c>
      <c r="U37" s="3">
        <f>IFERROR((('Raw Data 5Y'!AK34/'Raw Data 5Y'!AJ34)^(1/5)-1)*100,"")</f>
        <v/>
      </c>
      <c r="V37" s="3">
        <f>IF(AND(ISNUMBER(F37),COUNT(F$2:F$46)&gt;=4),IF(F37&gt;=QUARTILE(F$2:F$46,3),1,0),0)+IF(AND(ISNUMBER(G37),COUNT(G$2:G$46)&gt;=4),IF(G37&gt;=QUARTILE(G$2:G$46,3),1,0),0)+IF(AND(ISNUMBER(H37),COUNT(H$2:H$46)&gt;=4),IF(H37&gt;=QUARTILE(H$2:H$46,3),1,0),0)+IF(AND(ISNUMBER(I37),COUNT(I$2:I$46)&gt;=4),IF(I37&gt;=QUARTILE(I$2:I$46,3),1,0),0)+IF(AND(ISNUMBER(J37),COUNT(J$2:J$46)&gt;=4),IF(J37&gt;=QUARTILE(J$2:J$46,3),1,0),0)+IF(AND(ISNUMBER(K37),COUNT(K$2:K$46)&gt;=4),IF(K37&gt;=QUARTILE(K$2:K$46,3),1,0),0)+IF(AND(ISNUMBER(L37),COUNT(L$2:L$46)&gt;=4),IF(L37&gt;=QUARTILE(L$2:L$46,3),1,0),0)+IF(AND(ISNUMBER(M37),COUNT(M$2:M$46)&gt;=4),IF(M37&gt;=QUARTILE(M$2:M$46,3),1,0),0)+IF(AND(ISNUMBER(N37),COUNT(N$2:N$46)&gt;=4),IF(N37&gt;=QUARTILE(N$2:N$46,3),1,0),0)+IF(AND(ISNUMBER(O37),COUNT(O$2:O$46)&gt;=4),IF(O37&gt;=QUARTILE(O$2:O$46,3),1,0),0)+IF(AND(ISNUMBER(P37),COUNT(P$2:P$46)&gt;=4),IF(P37&gt;=QUARTILE(P$2:P$46,3),1,0),0)+IF(AND(ISNUMBER(Q37),COUNT(Q$2:Q$46)&gt;=4),IF(Q37&gt;=QUARTILE(Q$2:Q$46,3),1,0),0)+IF(AND(ISNUMBER(R37),COUNT(R$2:R$46)&gt;=4),IF(R37&gt;=QUARTILE(R$2:R$46,3),1,0),0)+IF(AND(ISNUMBER(S37),COUNT(S$2:S$46)&gt;=4),IF(S37&gt;=QUARTILE(S$2:S$46,3),1,0),0)+IF(AND(ISNUMBER(T37),COUNT(T$2:T$46)&gt;=4),IF(T37&gt;=QUARTILE(T$2:T$46,3),1,0),0)+IF(AND(ISNUMBER(U37),COUNT(U$2:U$46)&gt;=4),IF(U37&gt;=QUARTILE(U$2:U$46,3),1,0),0)</f>
        <v/>
      </c>
      <c r="W37" s="3">
        <f>IF(AND(ISNUMBER(F37),COUNT(F$2:F$46)&gt;=4),IF(F37&lt;=QUARTILE(F$2:F$46,1),1,0),0)+IF(AND(ISNUMBER(G37),COUNT(G$2:G$46)&gt;=4),IF(G37&lt;=QUARTILE(G$2:G$46,1),1,0),0)+IF(AND(ISNUMBER(H37),COUNT(H$2:H$46)&gt;=4),IF(H37&lt;=QUARTILE(H$2:H$46,1),1,0),0)+IF(AND(ISNUMBER(I37),COUNT(I$2:I$46)&gt;=4),IF(I37&lt;=QUARTILE(I$2:I$46,1),1,0),0)+IF(AND(ISNUMBER(J37),COUNT(J$2:J$46)&gt;=4),IF(J37&lt;=QUARTILE(J$2:J$46,1),1,0),0)+IF(AND(ISNUMBER(K37),COUNT(K$2:K$46)&gt;=4),IF(K37&lt;=QUARTILE(K$2:K$46,1),1,0),0)+IF(AND(ISNUMBER(L37),COUNT(L$2:L$46)&gt;=4),IF(L37&lt;=QUARTILE(L$2:L$46,1),1,0),0)+IF(AND(ISNUMBER(M37),COUNT(M$2:M$46)&gt;=4),IF(M37&lt;=QUARTILE(M$2:M$46,1),1,0),0)+IF(AND(ISNUMBER(N37),COUNT(N$2:N$46)&gt;=4),IF(N37&lt;=QUARTILE(N$2:N$46,1),1,0),0)+IF(AND(ISNUMBER(O37),COUNT(O$2:O$46)&gt;=4),IF(O37&lt;=QUARTILE(O$2:O$46,1),1,0),0)+IF(AND(ISNUMBER(P37),COUNT(P$2:P$46)&gt;=4),IF(P37&lt;=QUARTILE(P$2:P$46,1),1,0),0)+IF(AND(ISNUMBER(Q37),COUNT(Q$2:Q$46)&gt;=4),IF(Q37&lt;=QUARTILE(Q$2:Q$46,1),1,0),0)+IF(AND(ISNUMBER(R37),COUNT(R$2:R$46)&gt;=4),IF(R37&lt;=QUARTILE(R$2:R$46,1),1,0),0)+IF(AND(ISNUMBER(S37),COUNT(S$2:S$46)&gt;=4),IF(S37&lt;=QUARTILE(S$2:S$46,1),1,0),0)+IF(AND(ISNUMBER(T37),COUNT(T$2:T$46)&gt;=4),IF(T37&lt;=QUARTILE(T$2:T$46,1),1,0),0)+IF(AND(ISNUMBER(U37),COUNT(U$2:U$46)&gt;=4),IF(U37&lt;=QUARTILE(U$2:U$46,1),1,0),0)</f>
        <v/>
      </c>
      <c r="X37" s="3">
        <f>IF(W37=0,V37,ROUND(V37/W37,2))</f>
        <v/>
      </c>
      <c r="Y37" s="3">
        <f>IFERROR(IF(VLOOKUP(A37,'Raw Data 5Y'!A:AL,38,FALSE)="","none",VLOOKUP(A37,'Raw Data 5Y'!A:AL,38,FALSE)),"none")</f>
        <v/>
      </c>
      <c r="Z37" s="4" t="inlineStr">
        <is>
          <t>Source</t>
        </is>
      </c>
    </row>
    <row r="38">
      <c r="A38">
        <f>'Raw Data 5Y'!A22</f>
        <v/>
      </c>
      <c r="B38" s="3">
        <f>IFERROR((('Raw Data 5Y'!C22/'Raw Data 5Y'!B22)^(1/'Raw Data 5Y'!D22)-1)*100,"")</f>
        <v/>
      </c>
      <c r="C38" s="3">
        <f>'Raw Data 5Y'!E22</f>
        <v/>
      </c>
      <c r="D38" s="3">
        <f>INT('Raw Data 5Y'!D22)</f>
        <v/>
      </c>
      <c r="E38" s="3">
        <f>IFERROR(AVERAGE(F38:U38),"")</f>
        <v/>
      </c>
      <c r="F38" s="3">
        <f>IFERROR((('Raw Data 5Y'!G22/'Raw Data 5Y'!F22)^(1/5)-1)*100,"")</f>
        <v/>
      </c>
      <c r="G38" s="3">
        <f>IFERROR((('Raw Data 5Y'!I22/'Raw Data 5Y'!H22)^(1/5)-1)*100,"")</f>
        <v/>
      </c>
      <c r="H38" s="3">
        <f>IFERROR((('Raw Data 5Y'!K22/'Raw Data 5Y'!J22)^(1/5)-1)*100,"")</f>
        <v/>
      </c>
      <c r="I38" s="3">
        <f>IFERROR((('Raw Data 5Y'!M22/'Raw Data 5Y'!L22)^(1/5)-1)*100,"")</f>
        <v/>
      </c>
      <c r="J38" s="3">
        <f>IFERROR((('Raw Data 5Y'!O22/'Raw Data 5Y'!N22)^(1/5)-1)*100,"")</f>
        <v/>
      </c>
      <c r="K38" s="3">
        <f>IFERROR((('Raw Data 5Y'!Q22/'Raw Data 5Y'!P22)^(1/5)-1)*100,"")</f>
        <v/>
      </c>
      <c r="L38" s="3">
        <f>IFERROR((('Raw Data 5Y'!S22/'Raw Data 5Y'!R22)^(1/5)-1)*100,"")</f>
        <v/>
      </c>
      <c r="M38" s="3">
        <f>IFERROR((('Raw Data 5Y'!U22/'Raw Data 5Y'!T22)^(1/5)-1)*100,"")</f>
        <v/>
      </c>
      <c r="N38" s="3">
        <f>IFERROR((('Raw Data 5Y'!W22/'Raw Data 5Y'!V22)^(1/5)-1)*100,"")</f>
        <v/>
      </c>
      <c r="O38" s="3">
        <f>IFERROR((('Raw Data 5Y'!Y22/'Raw Data 5Y'!X22)^(1/5)-1)*100,"")</f>
        <v/>
      </c>
      <c r="P38" s="3">
        <f>IFERROR((('Raw Data 5Y'!AA22/'Raw Data 5Y'!Z22)^(1/5)-1)*100,"")</f>
        <v/>
      </c>
      <c r="Q38" s="3">
        <f>IFERROR((('Raw Data 5Y'!AC22/'Raw Data 5Y'!AB22)^(1/5)-1)*100,"")</f>
        <v/>
      </c>
      <c r="R38" s="3">
        <f>IFERROR((('Raw Data 5Y'!AE22/'Raw Data 5Y'!AD22)^(1/5)-1)*100,"")</f>
        <v/>
      </c>
      <c r="S38" s="3">
        <f>IFERROR((('Raw Data 5Y'!AG22/'Raw Data 5Y'!AF22)^(1/5)-1)*100,"")</f>
        <v/>
      </c>
      <c r="T38" s="3">
        <f>IFERROR((('Raw Data 5Y'!AI22/'Raw Data 5Y'!AH22)^(1/5)-1)*100,"")</f>
        <v/>
      </c>
      <c r="U38" s="3">
        <f>IFERROR((('Raw Data 5Y'!AK22/'Raw Data 5Y'!AJ22)^(1/5)-1)*100,"")</f>
        <v/>
      </c>
      <c r="V38" s="3">
        <f>IF(AND(ISNUMBER(F38),COUNT(F$2:F$46)&gt;=4),IF(F38&gt;=QUARTILE(F$2:F$46,3),1,0),0)+IF(AND(ISNUMBER(G38),COUNT(G$2:G$46)&gt;=4),IF(G38&gt;=QUARTILE(G$2:G$46,3),1,0),0)+IF(AND(ISNUMBER(H38),COUNT(H$2:H$46)&gt;=4),IF(H38&gt;=QUARTILE(H$2:H$46,3),1,0),0)+IF(AND(ISNUMBER(I38),COUNT(I$2:I$46)&gt;=4),IF(I38&gt;=QUARTILE(I$2:I$46,3),1,0),0)+IF(AND(ISNUMBER(J38),COUNT(J$2:J$46)&gt;=4),IF(J38&gt;=QUARTILE(J$2:J$46,3),1,0),0)+IF(AND(ISNUMBER(K38),COUNT(K$2:K$46)&gt;=4),IF(K38&gt;=QUARTILE(K$2:K$46,3),1,0),0)+IF(AND(ISNUMBER(L38),COUNT(L$2:L$46)&gt;=4),IF(L38&gt;=QUARTILE(L$2:L$46,3),1,0),0)+IF(AND(ISNUMBER(M38),COUNT(M$2:M$46)&gt;=4),IF(M38&gt;=QUARTILE(M$2:M$46,3),1,0),0)+IF(AND(ISNUMBER(N38),COUNT(N$2:N$46)&gt;=4),IF(N38&gt;=QUARTILE(N$2:N$46,3),1,0),0)+IF(AND(ISNUMBER(O38),COUNT(O$2:O$46)&gt;=4),IF(O38&gt;=QUARTILE(O$2:O$46,3),1,0),0)+IF(AND(ISNUMBER(P38),COUNT(P$2:P$46)&gt;=4),IF(P38&gt;=QUARTILE(P$2:P$46,3),1,0),0)+IF(AND(ISNUMBER(Q38),COUNT(Q$2:Q$46)&gt;=4),IF(Q38&gt;=QUARTILE(Q$2:Q$46,3),1,0),0)+IF(AND(ISNUMBER(R38),COUNT(R$2:R$46)&gt;=4),IF(R38&gt;=QUARTILE(R$2:R$46,3),1,0),0)+IF(AND(ISNUMBER(S38),COUNT(S$2:S$46)&gt;=4),IF(S38&gt;=QUARTILE(S$2:S$46,3),1,0),0)+IF(AND(ISNUMBER(T38),COUNT(T$2:T$46)&gt;=4),IF(T38&gt;=QUARTILE(T$2:T$46,3),1,0),0)+IF(AND(ISNUMBER(U38),COUNT(U$2:U$46)&gt;=4),IF(U38&gt;=QUARTILE(U$2:U$46,3),1,0),0)</f>
        <v/>
      </c>
      <c r="W38" s="3">
        <f>IF(AND(ISNUMBER(F38),COUNT(F$2:F$46)&gt;=4),IF(F38&lt;=QUARTILE(F$2:F$46,1),1,0),0)+IF(AND(ISNUMBER(G38),COUNT(G$2:G$46)&gt;=4),IF(G38&lt;=QUARTILE(G$2:G$46,1),1,0),0)+IF(AND(ISNUMBER(H38),COUNT(H$2:H$46)&gt;=4),IF(H38&lt;=QUARTILE(H$2:H$46,1),1,0),0)+IF(AND(ISNUMBER(I38),COUNT(I$2:I$46)&gt;=4),IF(I38&lt;=QUARTILE(I$2:I$46,1),1,0),0)+IF(AND(ISNUMBER(J38),COUNT(J$2:J$46)&gt;=4),IF(J38&lt;=QUARTILE(J$2:J$46,1),1,0),0)+IF(AND(ISNUMBER(K38),COUNT(K$2:K$46)&gt;=4),IF(K38&lt;=QUARTILE(K$2:K$46,1),1,0),0)+IF(AND(ISNUMBER(L38),COUNT(L$2:L$46)&gt;=4),IF(L38&lt;=QUARTILE(L$2:L$46,1),1,0),0)+IF(AND(ISNUMBER(M38),COUNT(M$2:M$46)&gt;=4),IF(M38&lt;=QUARTILE(M$2:M$46,1),1,0),0)+IF(AND(ISNUMBER(N38),COUNT(N$2:N$46)&gt;=4),IF(N38&lt;=QUARTILE(N$2:N$46,1),1,0),0)+IF(AND(ISNUMBER(O38),COUNT(O$2:O$46)&gt;=4),IF(O38&lt;=QUARTILE(O$2:O$46,1),1,0),0)+IF(AND(ISNUMBER(P38),COUNT(P$2:P$46)&gt;=4),IF(P38&lt;=QUARTILE(P$2:P$46,1),1,0),0)+IF(AND(ISNUMBER(Q38),COUNT(Q$2:Q$46)&gt;=4),IF(Q38&lt;=QUARTILE(Q$2:Q$46,1),1,0),0)+IF(AND(ISNUMBER(R38),COUNT(R$2:R$46)&gt;=4),IF(R38&lt;=QUARTILE(R$2:R$46,1),1,0),0)+IF(AND(ISNUMBER(S38),COUNT(S$2:S$46)&gt;=4),IF(S38&lt;=QUARTILE(S$2:S$46,1),1,0),0)+IF(AND(ISNUMBER(T38),COUNT(T$2:T$46)&gt;=4),IF(T38&lt;=QUARTILE(T$2:T$46,1),1,0),0)+IF(AND(ISNUMBER(U38),COUNT(U$2:U$46)&gt;=4),IF(U38&lt;=QUARTILE(U$2:U$46,1),1,0),0)</f>
        <v/>
      </c>
      <c r="X38" s="3">
        <f>IF(W38=0,V38,ROUND(V38/W38,2))</f>
        <v/>
      </c>
      <c r="Y38" s="3">
        <f>IFERROR(IF(VLOOKUP(A38,'Raw Data 5Y'!A:AL,38,FALSE)="","none",VLOOKUP(A38,'Raw Data 5Y'!A:AL,38,FALSE)),"none")</f>
        <v/>
      </c>
      <c r="Z38" s="4" t="inlineStr">
        <is>
          <t>Source</t>
        </is>
      </c>
    </row>
    <row r="39">
      <c r="A39">
        <f>'Raw Data 5Y'!A24</f>
        <v/>
      </c>
      <c r="B39" s="3">
        <f>IFERROR((('Raw Data 5Y'!C24/'Raw Data 5Y'!B24)^(1/'Raw Data 5Y'!D24)-1)*100,"")</f>
        <v/>
      </c>
      <c r="C39" s="3">
        <f>'Raw Data 5Y'!E24</f>
        <v/>
      </c>
      <c r="D39" s="3">
        <f>INT('Raw Data 5Y'!D24)</f>
        <v/>
      </c>
      <c r="E39" s="3">
        <f>IFERROR(AVERAGE(F39:U39),"")</f>
        <v/>
      </c>
      <c r="F39" s="3">
        <f>IFERROR((('Raw Data 5Y'!G24/'Raw Data 5Y'!F24)^(1/5)-1)*100,"")</f>
        <v/>
      </c>
      <c r="G39" s="3">
        <f>IFERROR((('Raw Data 5Y'!I24/'Raw Data 5Y'!H24)^(1/5)-1)*100,"")</f>
        <v/>
      </c>
      <c r="H39" s="3">
        <f>IFERROR((('Raw Data 5Y'!K24/'Raw Data 5Y'!J24)^(1/5)-1)*100,"")</f>
        <v/>
      </c>
      <c r="I39" s="3">
        <f>IFERROR((('Raw Data 5Y'!M24/'Raw Data 5Y'!L24)^(1/5)-1)*100,"")</f>
        <v/>
      </c>
      <c r="J39" s="3">
        <f>IFERROR((('Raw Data 5Y'!O24/'Raw Data 5Y'!N24)^(1/5)-1)*100,"")</f>
        <v/>
      </c>
      <c r="K39" s="3">
        <f>IFERROR((('Raw Data 5Y'!Q24/'Raw Data 5Y'!P24)^(1/5)-1)*100,"")</f>
        <v/>
      </c>
      <c r="L39" s="3">
        <f>IFERROR((('Raw Data 5Y'!S24/'Raw Data 5Y'!R24)^(1/5)-1)*100,"")</f>
        <v/>
      </c>
      <c r="M39" s="3">
        <f>IFERROR((('Raw Data 5Y'!U24/'Raw Data 5Y'!T24)^(1/5)-1)*100,"")</f>
        <v/>
      </c>
      <c r="N39" s="3">
        <f>IFERROR((('Raw Data 5Y'!W24/'Raw Data 5Y'!V24)^(1/5)-1)*100,"")</f>
        <v/>
      </c>
      <c r="O39" s="3">
        <f>IFERROR((('Raw Data 5Y'!Y24/'Raw Data 5Y'!X24)^(1/5)-1)*100,"")</f>
        <v/>
      </c>
      <c r="P39" s="3">
        <f>IFERROR((('Raw Data 5Y'!AA24/'Raw Data 5Y'!Z24)^(1/5)-1)*100,"")</f>
        <v/>
      </c>
      <c r="Q39" s="3">
        <f>IFERROR((('Raw Data 5Y'!AC24/'Raw Data 5Y'!AB24)^(1/5)-1)*100,"")</f>
        <v/>
      </c>
      <c r="R39" s="3">
        <f>IFERROR((('Raw Data 5Y'!AE24/'Raw Data 5Y'!AD24)^(1/5)-1)*100,"")</f>
        <v/>
      </c>
      <c r="S39" s="3">
        <f>IFERROR((('Raw Data 5Y'!AG24/'Raw Data 5Y'!AF24)^(1/5)-1)*100,"")</f>
        <v/>
      </c>
      <c r="T39" s="3">
        <f>IFERROR((('Raw Data 5Y'!AI24/'Raw Data 5Y'!AH24)^(1/5)-1)*100,"")</f>
        <v/>
      </c>
      <c r="U39" s="3">
        <f>IFERROR((('Raw Data 5Y'!AK24/'Raw Data 5Y'!AJ24)^(1/5)-1)*100,"")</f>
        <v/>
      </c>
      <c r="V39" s="3">
        <f>IF(AND(ISNUMBER(F39),COUNT(F$2:F$46)&gt;=4),IF(F39&gt;=QUARTILE(F$2:F$46,3),1,0),0)+IF(AND(ISNUMBER(G39),COUNT(G$2:G$46)&gt;=4),IF(G39&gt;=QUARTILE(G$2:G$46,3),1,0),0)+IF(AND(ISNUMBER(H39),COUNT(H$2:H$46)&gt;=4),IF(H39&gt;=QUARTILE(H$2:H$46,3),1,0),0)+IF(AND(ISNUMBER(I39),COUNT(I$2:I$46)&gt;=4),IF(I39&gt;=QUARTILE(I$2:I$46,3),1,0),0)+IF(AND(ISNUMBER(J39),COUNT(J$2:J$46)&gt;=4),IF(J39&gt;=QUARTILE(J$2:J$46,3),1,0),0)+IF(AND(ISNUMBER(K39),COUNT(K$2:K$46)&gt;=4),IF(K39&gt;=QUARTILE(K$2:K$46,3),1,0),0)+IF(AND(ISNUMBER(L39),COUNT(L$2:L$46)&gt;=4),IF(L39&gt;=QUARTILE(L$2:L$46,3),1,0),0)+IF(AND(ISNUMBER(M39),COUNT(M$2:M$46)&gt;=4),IF(M39&gt;=QUARTILE(M$2:M$46,3),1,0),0)+IF(AND(ISNUMBER(N39),COUNT(N$2:N$46)&gt;=4),IF(N39&gt;=QUARTILE(N$2:N$46,3),1,0),0)+IF(AND(ISNUMBER(O39),COUNT(O$2:O$46)&gt;=4),IF(O39&gt;=QUARTILE(O$2:O$46,3),1,0),0)+IF(AND(ISNUMBER(P39),COUNT(P$2:P$46)&gt;=4),IF(P39&gt;=QUARTILE(P$2:P$46,3),1,0),0)+IF(AND(ISNUMBER(Q39),COUNT(Q$2:Q$46)&gt;=4),IF(Q39&gt;=QUARTILE(Q$2:Q$46,3),1,0),0)+IF(AND(ISNUMBER(R39),COUNT(R$2:R$46)&gt;=4),IF(R39&gt;=QUARTILE(R$2:R$46,3),1,0),0)+IF(AND(ISNUMBER(S39),COUNT(S$2:S$46)&gt;=4),IF(S39&gt;=QUARTILE(S$2:S$46,3),1,0),0)+IF(AND(ISNUMBER(T39),COUNT(T$2:T$46)&gt;=4),IF(T39&gt;=QUARTILE(T$2:T$46,3),1,0),0)+IF(AND(ISNUMBER(U39),COUNT(U$2:U$46)&gt;=4),IF(U39&gt;=QUARTILE(U$2:U$46,3),1,0),0)</f>
        <v/>
      </c>
      <c r="W39" s="3">
        <f>IF(AND(ISNUMBER(F39),COUNT(F$2:F$46)&gt;=4),IF(F39&lt;=QUARTILE(F$2:F$46,1),1,0),0)+IF(AND(ISNUMBER(G39),COUNT(G$2:G$46)&gt;=4),IF(G39&lt;=QUARTILE(G$2:G$46,1),1,0),0)+IF(AND(ISNUMBER(H39),COUNT(H$2:H$46)&gt;=4),IF(H39&lt;=QUARTILE(H$2:H$46,1),1,0),0)+IF(AND(ISNUMBER(I39),COUNT(I$2:I$46)&gt;=4),IF(I39&lt;=QUARTILE(I$2:I$46,1),1,0),0)+IF(AND(ISNUMBER(J39),COUNT(J$2:J$46)&gt;=4),IF(J39&lt;=QUARTILE(J$2:J$46,1),1,0),0)+IF(AND(ISNUMBER(K39),COUNT(K$2:K$46)&gt;=4),IF(K39&lt;=QUARTILE(K$2:K$46,1),1,0),0)+IF(AND(ISNUMBER(L39),COUNT(L$2:L$46)&gt;=4),IF(L39&lt;=QUARTILE(L$2:L$46,1),1,0),0)+IF(AND(ISNUMBER(M39),COUNT(M$2:M$46)&gt;=4),IF(M39&lt;=QUARTILE(M$2:M$46,1),1,0),0)+IF(AND(ISNUMBER(N39),COUNT(N$2:N$46)&gt;=4),IF(N39&lt;=QUARTILE(N$2:N$46,1),1,0),0)+IF(AND(ISNUMBER(O39),COUNT(O$2:O$46)&gt;=4),IF(O39&lt;=QUARTILE(O$2:O$46,1),1,0),0)+IF(AND(ISNUMBER(P39),COUNT(P$2:P$46)&gt;=4),IF(P39&lt;=QUARTILE(P$2:P$46,1),1,0),0)+IF(AND(ISNUMBER(Q39),COUNT(Q$2:Q$46)&gt;=4),IF(Q39&lt;=QUARTILE(Q$2:Q$46,1),1,0),0)+IF(AND(ISNUMBER(R39),COUNT(R$2:R$46)&gt;=4),IF(R39&lt;=QUARTILE(R$2:R$46,1),1,0),0)+IF(AND(ISNUMBER(S39),COUNT(S$2:S$46)&gt;=4),IF(S39&lt;=QUARTILE(S$2:S$46,1),1,0),0)+IF(AND(ISNUMBER(T39),COUNT(T$2:T$46)&gt;=4),IF(T39&lt;=QUARTILE(T$2:T$46,1),1,0),0)+IF(AND(ISNUMBER(U39),COUNT(U$2:U$46)&gt;=4),IF(U39&lt;=QUARTILE(U$2:U$46,1),1,0),0)</f>
        <v/>
      </c>
      <c r="X39" s="3">
        <f>IF(W39=0,V39,ROUND(V39/W39,2))</f>
        <v/>
      </c>
      <c r="Y39" s="3">
        <f>IFERROR(IF(VLOOKUP(A39,'Raw Data 5Y'!A:AL,38,FALSE)="","none",VLOOKUP(A39,'Raw Data 5Y'!A:AL,38,FALSE)),"none")</f>
        <v/>
      </c>
      <c r="Z39" s="4" t="inlineStr">
        <is>
          <t>Source</t>
        </is>
      </c>
    </row>
    <row r="40">
      <c r="A40">
        <f>'Raw Data 5Y'!A25</f>
        <v/>
      </c>
      <c r="B40" s="3">
        <f>IFERROR((('Raw Data 5Y'!C25/'Raw Data 5Y'!B25)^(1/'Raw Data 5Y'!D25)-1)*100,"")</f>
        <v/>
      </c>
      <c r="C40" s="3">
        <f>'Raw Data 5Y'!E25</f>
        <v/>
      </c>
      <c r="D40" s="3">
        <f>INT('Raw Data 5Y'!D25)</f>
        <v/>
      </c>
      <c r="E40" s="3">
        <f>IFERROR(AVERAGE(F40:U40),"")</f>
        <v/>
      </c>
      <c r="F40" s="3">
        <f>IFERROR((('Raw Data 5Y'!G25/'Raw Data 5Y'!F25)^(1/5)-1)*100,"")</f>
        <v/>
      </c>
      <c r="G40" s="3">
        <f>IFERROR((('Raw Data 5Y'!I25/'Raw Data 5Y'!H25)^(1/5)-1)*100,"")</f>
        <v/>
      </c>
      <c r="H40" s="3">
        <f>IFERROR((('Raw Data 5Y'!K25/'Raw Data 5Y'!J25)^(1/5)-1)*100,"")</f>
        <v/>
      </c>
      <c r="I40" s="3">
        <f>IFERROR((('Raw Data 5Y'!M25/'Raw Data 5Y'!L25)^(1/5)-1)*100,"")</f>
        <v/>
      </c>
      <c r="J40" s="3">
        <f>IFERROR((('Raw Data 5Y'!O25/'Raw Data 5Y'!N25)^(1/5)-1)*100,"")</f>
        <v/>
      </c>
      <c r="K40" s="3">
        <f>IFERROR((('Raw Data 5Y'!Q25/'Raw Data 5Y'!P25)^(1/5)-1)*100,"")</f>
        <v/>
      </c>
      <c r="L40" s="3">
        <f>IFERROR((('Raw Data 5Y'!S25/'Raw Data 5Y'!R25)^(1/5)-1)*100,"")</f>
        <v/>
      </c>
      <c r="M40" s="3">
        <f>IFERROR((('Raw Data 5Y'!U25/'Raw Data 5Y'!T25)^(1/5)-1)*100,"")</f>
        <v/>
      </c>
      <c r="N40" s="3">
        <f>IFERROR((('Raw Data 5Y'!W25/'Raw Data 5Y'!V25)^(1/5)-1)*100,"")</f>
        <v/>
      </c>
      <c r="O40" s="3">
        <f>IFERROR((('Raw Data 5Y'!Y25/'Raw Data 5Y'!X25)^(1/5)-1)*100,"")</f>
        <v/>
      </c>
      <c r="P40" s="3">
        <f>IFERROR((('Raw Data 5Y'!AA25/'Raw Data 5Y'!Z25)^(1/5)-1)*100,"")</f>
        <v/>
      </c>
      <c r="Q40" s="3">
        <f>IFERROR((('Raw Data 5Y'!AC25/'Raw Data 5Y'!AB25)^(1/5)-1)*100,"")</f>
        <v/>
      </c>
      <c r="R40" s="3">
        <f>IFERROR((('Raw Data 5Y'!AE25/'Raw Data 5Y'!AD25)^(1/5)-1)*100,"")</f>
        <v/>
      </c>
      <c r="S40" s="3">
        <f>IFERROR((('Raw Data 5Y'!AG25/'Raw Data 5Y'!AF25)^(1/5)-1)*100,"")</f>
        <v/>
      </c>
      <c r="T40" s="3">
        <f>IFERROR((('Raw Data 5Y'!AI25/'Raw Data 5Y'!AH25)^(1/5)-1)*100,"")</f>
        <v/>
      </c>
      <c r="U40" s="3">
        <f>IFERROR((('Raw Data 5Y'!AK25/'Raw Data 5Y'!AJ25)^(1/5)-1)*100,"")</f>
        <v/>
      </c>
      <c r="V40" s="3">
        <f>IF(AND(ISNUMBER(F40),COUNT(F$2:F$46)&gt;=4),IF(F40&gt;=QUARTILE(F$2:F$46,3),1,0),0)+IF(AND(ISNUMBER(G40),COUNT(G$2:G$46)&gt;=4),IF(G40&gt;=QUARTILE(G$2:G$46,3),1,0),0)+IF(AND(ISNUMBER(H40),COUNT(H$2:H$46)&gt;=4),IF(H40&gt;=QUARTILE(H$2:H$46,3),1,0),0)+IF(AND(ISNUMBER(I40),COUNT(I$2:I$46)&gt;=4),IF(I40&gt;=QUARTILE(I$2:I$46,3),1,0),0)+IF(AND(ISNUMBER(J40),COUNT(J$2:J$46)&gt;=4),IF(J40&gt;=QUARTILE(J$2:J$46,3),1,0),0)+IF(AND(ISNUMBER(K40),COUNT(K$2:K$46)&gt;=4),IF(K40&gt;=QUARTILE(K$2:K$46,3),1,0),0)+IF(AND(ISNUMBER(L40),COUNT(L$2:L$46)&gt;=4),IF(L40&gt;=QUARTILE(L$2:L$46,3),1,0),0)+IF(AND(ISNUMBER(M40),COUNT(M$2:M$46)&gt;=4),IF(M40&gt;=QUARTILE(M$2:M$46,3),1,0),0)+IF(AND(ISNUMBER(N40),COUNT(N$2:N$46)&gt;=4),IF(N40&gt;=QUARTILE(N$2:N$46,3),1,0),0)+IF(AND(ISNUMBER(O40),COUNT(O$2:O$46)&gt;=4),IF(O40&gt;=QUARTILE(O$2:O$46,3),1,0),0)+IF(AND(ISNUMBER(P40),COUNT(P$2:P$46)&gt;=4),IF(P40&gt;=QUARTILE(P$2:P$46,3),1,0),0)+IF(AND(ISNUMBER(Q40),COUNT(Q$2:Q$46)&gt;=4),IF(Q40&gt;=QUARTILE(Q$2:Q$46,3),1,0),0)+IF(AND(ISNUMBER(R40),COUNT(R$2:R$46)&gt;=4),IF(R40&gt;=QUARTILE(R$2:R$46,3),1,0),0)+IF(AND(ISNUMBER(S40),COUNT(S$2:S$46)&gt;=4),IF(S40&gt;=QUARTILE(S$2:S$46,3),1,0),0)+IF(AND(ISNUMBER(T40),COUNT(T$2:T$46)&gt;=4),IF(T40&gt;=QUARTILE(T$2:T$46,3),1,0),0)+IF(AND(ISNUMBER(U40),COUNT(U$2:U$46)&gt;=4),IF(U40&gt;=QUARTILE(U$2:U$46,3),1,0),0)</f>
        <v/>
      </c>
      <c r="W40" s="3">
        <f>IF(AND(ISNUMBER(F40),COUNT(F$2:F$46)&gt;=4),IF(F40&lt;=QUARTILE(F$2:F$46,1),1,0),0)+IF(AND(ISNUMBER(G40),COUNT(G$2:G$46)&gt;=4),IF(G40&lt;=QUARTILE(G$2:G$46,1),1,0),0)+IF(AND(ISNUMBER(H40),COUNT(H$2:H$46)&gt;=4),IF(H40&lt;=QUARTILE(H$2:H$46,1),1,0),0)+IF(AND(ISNUMBER(I40),COUNT(I$2:I$46)&gt;=4),IF(I40&lt;=QUARTILE(I$2:I$46,1),1,0),0)+IF(AND(ISNUMBER(J40),COUNT(J$2:J$46)&gt;=4),IF(J40&lt;=QUARTILE(J$2:J$46,1),1,0),0)+IF(AND(ISNUMBER(K40),COUNT(K$2:K$46)&gt;=4),IF(K40&lt;=QUARTILE(K$2:K$46,1),1,0),0)+IF(AND(ISNUMBER(L40),COUNT(L$2:L$46)&gt;=4),IF(L40&lt;=QUARTILE(L$2:L$46,1),1,0),0)+IF(AND(ISNUMBER(M40),COUNT(M$2:M$46)&gt;=4),IF(M40&lt;=QUARTILE(M$2:M$46,1),1,0),0)+IF(AND(ISNUMBER(N40),COUNT(N$2:N$46)&gt;=4),IF(N40&lt;=QUARTILE(N$2:N$46,1),1,0),0)+IF(AND(ISNUMBER(O40),COUNT(O$2:O$46)&gt;=4),IF(O40&lt;=QUARTILE(O$2:O$46,1),1,0),0)+IF(AND(ISNUMBER(P40),COUNT(P$2:P$46)&gt;=4),IF(P40&lt;=QUARTILE(P$2:P$46,1),1,0),0)+IF(AND(ISNUMBER(Q40),COUNT(Q$2:Q$46)&gt;=4),IF(Q40&lt;=QUARTILE(Q$2:Q$46,1),1,0),0)+IF(AND(ISNUMBER(R40),COUNT(R$2:R$46)&gt;=4),IF(R40&lt;=QUARTILE(R$2:R$46,1),1,0),0)+IF(AND(ISNUMBER(S40),COUNT(S$2:S$46)&gt;=4),IF(S40&lt;=QUARTILE(S$2:S$46,1),1,0),0)+IF(AND(ISNUMBER(T40),COUNT(T$2:T$46)&gt;=4),IF(T40&lt;=QUARTILE(T$2:T$46,1),1,0),0)+IF(AND(ISNUMBER(U40),COUNT(U$2:U$46)&gt;=4),IF(U40&lt;=QUARTILE(U$2:U$46,1),1,0),0)</f>
        <v/>
      </c>
      <c r="X40" s="3">
        <f>IF(W40=0,V40,ROUND(V40/W40,2))</f>
        <v/>
      </c>
      <c r="Y40" s="3">
        <f>IFERROR(IF(VLOOKUP(A40,'Raw Data 5Y'!A:AL,38,FALSE)="","none",VLOOKUP(A40,'Raw Data 5Y'!A:AL,38,FALSE)),"none")</f>
        <v/>
      </c>
      <c r="Z40" s="4" t="inlineStr">
        <is>
          <t>Source</t>
        </is>
      </c>
    </row>
    <row r="41">
      <c r="A41">
        <f>'Raw Data 5Y'!A28</f>
        <v/>
      </c>
      <c r="B41" s="3">
        <f>IFERROR((('Raw Data 5Y'!C28/'Raw Data 5Y'!B28)^(1/'Raw Data 5Y'!D28)-1)*100,"")</f>
        <v/>
      </c>
      <c r="C41" s="3">
        <f>'Raw Data 5Y'!E28</f>
        <v/>
      </c>
      <c r="D41" s="3">
        <f>INT('Raw Data 5Y'!D28)</f>
        <v/>
      </c>
      <c r="E41" s="3">
        <f>IFERROR(AVERAGE(F41:U41),"")</f>
        <v/>
      </c>
      <c r="F41" s="3">
        <f>IFERROR((('Raw Data 5Y'!G28/'Raw Data 5Y'!F28)^(1/5)-1)*100,"")</f>
        <v/>
      </c>
      <c r="G41" s="3">
        <f>IFERROR((('Raw Data 5Y'!I28/'Raw Data 5Y'!H28)^(1/5)-1)*100,"")</f>
        <v/>
      </c>
      <c r="H41" s="3">
        <f>IFERROR((('Raw Data 5Y'!K28/'Raw Data 5Y'!J28)^(1/5)-1)*100,"")</f>
        <v/>
      </c>
      <c r="I41" s="3">
        <f>IFERROR((('Raw Data 5Y'!M28/'Raw Data 5Y'!L28)^(1/5)-1)*100,"")</f>
        <v/>
      </c>
      <c r="J41" s="3">
        <f>IFERROR((('Raw Data 5Y'!O28/'Raw Data 5Y'!N28)^(1/5)-1)*100,"")</f>
        <v/>
      </c>
      <c r="K41" s="3">
        <f>IFERROR((('Raw Data 5Y'!Q28/'Raw Data 5Y'!P28)^(1/5)-1)*100,"")</f>
        <v/>
      </c>
      <c r="L41" s="3">
        <f>IFERROR((('Raw Data 5Y'!S28/'Raw Data 5Y'!R28)^(1/5)-1)*100,"")</f>
        <v/>
      </c>
      <c r="M41" s="3">
        <f>IFERROR((('Raw Data 5Y'!U28/'Raw Data 5Y'!T28)^(1/5)-1)*100,"")</f>
        <v/>
      </c>
      <c r="N41" s="3">
        <f>IFERROR((('Raw Data 5Y'!W28/'Raw Data 5Y'!V28)^(1/5)-1)*100,"")</f>
        <v/>
      </c>
      <c r="O41" s="3">
        <f>IFERROR((('Raw Data 5Y'!Y28/'Raw Data 5Y'!X28)^(1/5)-1)*100,"")</f>
        <v/>
      </c>
      <c r="P41" s="3">
        <f>IFERROR((('Raw Data 5Y'!AA28/'Raw Data 5Y'!Z28)^(1/5)-1)*100,"")</f>
        <v/>
      </c>
      <c r="Q41" s="3">
        <f>IFERROR((('Raw Data 5Y'!AC28/'Raw Data 5Y'!AB28)^(1/5)-1)*100,"")</f>
        <v/>
      </c>
      <c r="R41" s="3">
        <f>IFERROR((('Raw Data 5Y'!AE28/'Raw Data 5Y'!AD28)^(1/5)-1)*100,"")</f>
        <v/>
      </c>
      <c r="S41" s="3">
        <f>IFERROR((('Raw Data 5Y'!AG28/'Raw Data 5Y'!AF28)^(1/5)-1)*100,"")</f>
        <v/>
      </c>
      <c r="T41" s="3">
        <f>IFERROR((('Raw Data 5Y'!AI28/'Raw Data 5Y'!AH28)^(1/5)-1)*100,"")</f>
        <v/>
      </c>
      <c r="U41" s="3">
        <f>IFERROR((('Raw Data 5Y'!AK28/'Raw Data 5Y'!AJ28)^(1/5)-1)*100,"")</f>
        <v/>
      </c>
      <c r="V41" s="3">
        <f>IF(AND(ISNUMBER(F41),COUNT(F$2:F$46)&gt;=4),IF(F41&gt;=QUARTILE(F$2:F$46,3),1,0),0)+IF(AND(ISNUMBER(G41),COUNT(G$2:G$46)&gt;=4),IF(G41&gt;=QUARTILE(G$2:G$46,3),1,0),0)+IF(AND(ISNUMBER(H41),COUNT(H$2:H$46)&gt;=4),IF(H41&gt;=QUARTILE(H$2:H$46,3),1,0),0)+IF(AND(ISNUMBER(I41),COUNT(I$2:I$46)&gt;=4),IF(I41&gt;=QUARTILE(I$2:I$46,3),1,0),0)+IF(AND(ISNUMBER(J41),COUNT(J$2:J$46)&gt;=4),IF(J41&gt;=QUARTILE(J$2:J$46,3),1,0),0)+IF(AND(ISNUMBER(K41),COUNT(K$2:K$46)&gt;=4),IF(K41&gt;=QUARTILE(K$2:K$46,3),1,0),0)+IF(AND(ISNUMBER(L41),COUNT(L$2:L$46)&gt;=4),IF(L41&gt;=QUARTILE(L$2:L$46,3),1,0),0)+IF(AND(ISNUMBER(M41),COUNT(M$2:M$46)&gt;=4),IF(M41&gt;=QUARTILE(M$2:M$46,3),1,0),0)+IF(AND(ISNUMBER(N41),COUNT(N$2:N$46)&gt;=4),IF(N41&gt;=QUARTILE(N$2:N$46,3),1,0),0)+IF(AND(ISNUMBER(O41),COUNT(O$2:O$46)&gt;=4),IF(O41&gt;=QUARTILE(O$2:O$46,3),1,0),0)+IF(AND(ISNUMBER(P41),COUNT(P$2:P$46)&gt;=4),IF(P41&gt;=QUARTILE(P$2:P$46,3),1,0),0)+IF(AND(ISNUMBER(Q41),COUNT(Q$2:Q$46)&gt;=4),IF(Q41&gt;=QUARTILE(Q$2:Q$46,3),1,0),0)+IF(AND(ISNUMBER(R41),COUNT(R$2:R$46)&gt;=4),IF(R41&gt;=QUARTILE(R$2:R$46,3),1,0),0)+IF(AND(ISNUMBER(S41),COUNT(S$2:S$46)&gt;=4),IF(S41&gt;=QUARTILE(S$2:S$46,3),1,0),0)+IF(AND(ISNUMBER(T41),COUNT(T$2:T$46)&gt;=4),IF(T41&gt;=QUARTILE(T$2:T$46,3),1,0),0)+IF(AND(ISNUMBER(U41),COUNT(U$2:U$46)&gt;=4),IF(U41&gt;=QUARTILE(U$2:U$46,3),1,0),0)</f>
        <v/>
      </c>
      <c r="W41" s="3">
        <f>IF(AND(ISNUMBER(F41),COUNT(F$2:F$46)&gt;=4),IF(F41&lt;=QUARTILE(F$2:F$46,1),1,0),0)+IF(AND(ISNUMBER(G41),COUNT(G$2:G$46)&gt;=4),IF(G41&lt;=QUARTILE(G$2:G$46,1),1,0),0)+IF(AND(ISNUMBER(H41),COUNT(H$2:H$46)&gt;=4),IF(H41&lt;=QUARTILE(H$2:H$46,1),1,0),0)+IF(AND(ISNUMBER(I41),COUNT(I$2:I$46)&gt;=4),IF(I41&lt;=QUARTILE(I$2:I$46,1),1,0),0)+IF(AND(ISNUMBER(J41),COUNT(J$2:J$46)&gt;=4),IF(J41&lt;=QUARTILE(J$2:J$46,1),1,0),0)+IF(AND(ISNUMBER(K41),COUNT(K$2:K$46)&gt;=4),IF(K41&lt;=QUARTILE(K$2:K$46,1),1,0),0)+IF(AND(ISNUMBER(L41),COUNT(L$2:L$46)&gt;=4),IF(L41&lt;=QUARTILE(L$2:L$46,1),1,0),0)+IF(AND(ISNUMBER(M41),COUNT(M$2:M$46)&gt;=4),IF(M41&lt;=QUARTILE(M$2:M$46,1),1,0),0)+IF(AND(ISNUMBER(N41),COUNT(N$2:N$46)&gt;=4),IF(N41&lt;=QUARTILE(N$2:N$46,1),1,0),0)+IF(AND(ISNUMBER(O41),COUNT(O$2:O$46)&gt;=4),IF(O41&lt;=QUARTILE(O$2:O$46,1),1,0),0)+IF(AND(ISNUMBER(P41),COUNT(P$2:P$46)&gt;=4),IF(P41&lt;=QUARTILE(P$2:P$46,1),1,0),0)+IF(AND(ISNUMBER(Q41),COUNT(Q$2:Q$46)&gt;=4),IF(Q41&lt;=QUARTILE(Q$2:Q$46,1),1,0),0)+IF(AND(ISNUMBER(R41),COUNT(R$2:R$46)&gt;=4),IF(R41&lt;=QUARTILE(R$2:R$46,1),1,0),0)+IF(AND(ISNUMBER(S41),COUNT(S$2:S$46)&gt;=4),IF(S41&lt;=QUARTILE(S$2:S$46,1),1,0),0)+IF(AND(ISNUMBER(T41),COUNT(T$2:T$46)&gt;=4),IF(T41&lt;=QUARTILE(T$2:T$46,1),1,0),0)+IF(AND(ISNUMBER(U41),COUNT(U$2:U$46)&gt;=4),IF(U41&lt;=QUARTILE(U$2:U$46,1),1,0),0)</f>
        <v/>
      </c>
      <c r="X41" s="3">
        <f>IF(W41=0,V41,ROUND(V41/W41,2))</f>
        <v/>
      </c>
      <c r="Y41" s="3">
        <f>IFERROR(IF(VLOOKUP(A41,'Raw Data 5Y'!A:AL,38,FALSE)="","none",VLOOKUP(A41,'Raw Data 5Y'!A:AL,38,FALSE)),"none")</f>
        <v/>
      </c>
      <c r="Z41" s="4" t="inlineStr">
        <is>
          <t>Source</t>
        </is>
      </c>
    </row>
    <row r="42">
      <c r="A42">
        <f>'Raw Data 5Y'!A7</f>
        <v/>
      </c>
      <c r="B42" s="3">
        <f>IFERROR((('Raw Data 5Y'!C7/'Raw Data 5Y'!B7)^(1/'Raw Data 5Y'!D7)-1)*100,"")</f>
        <v/>
      </c>
      <c r="C42" s="3">
        <f>'Raw Data 5Y'!E7</f>
        <v/>
      </c>
      <c r="D42" s="3">
        <f>INT('Raw Data 5Y'!D7)</f>
        <v/>
      </c>
      <c r="E42" s="3">
        <f>IFERROR(AVERAGE(F42:U42),"")</f>
        <v/>
      </c>
      <c r="F42" s="3">
        <f>IFERROR((('Raw Data 5Y'!G7/'Raw Data 5Y'!F7)^(1/5)-1)*100,"")</f>
        <v/>
      </c>
      <c r="G42" s="3">
        <f>IFERROR((('Raw Data 5Y'!I7/'Raw Data 5Y'!H7)^(1/5)-1)*100,"")</f>
        <v/>
      </c>
      <c r="H42" s="3">
        <f>IFERROR((('Raw Data 5Y'!K7/'Raw Data 5Y'!J7)^(1/5)-1)*100,"")</f>
        <v/>
      </c>
      <c r="I42" s="3">
        <f>IFERROR((('Raw Data 5Y'!M7/'Raw Data 5Y'!L7)^(1/5)-1)*100,"")</f>
        <v/>
      </c>
      <c r="J42" s="3">
        <f>IFERROR((('Raw Data 5Y'!O7/'Raw Data 5Y'!N7)^(1/5)-1)*100,"")</f>
        <v/>
      </c>
      <c r="K42" s="3">
        <f>IFERROR((('Raw Data 5Y'!Q7/'Raw Data 5Y'!P7)^(1/5)-1)*100,"")</f>
        <v/>
      </c>
      <c r="L42" s="3">
        <f>IFERROR((('Raw Data 5Y'!S7/'Raw Data 5Y'!R7)^(1/5)-1)*100,"")</f>
        <v/>
      </c>
      <c r="M42" s="3">
        <f>IFERROR((('Raw Data 5Y'!U7/'Raw Data 5Y'!T7)^(1/5)-1)*100,"")</f>
        <v/>
      </c>
      <c r="N42" s="3">
        <f>IFERROR((('Raw Data 5Y'!W7/'Raw Data 5Y'!V7)^(1/5)-1)*100,"")</f>
        <v/>
      </c>
      <c r="O42" s="3">
        <f>IFERROR((('Raw Data 5Y'!Y7/'Raw Data 5Y'!X7)^(1/5)-1)*100,"")</f>
        <v/>
      </c>
      <c r="P42" s="3">
        <f>IFERROR((('Raw Data 5Y'!AA7/'Raw Data 5Y'!Z7)^(1/5)-1)*100,"")</f>
        <v/>
      </c>
      <c r="Q42" s="3">
        <f>IFERROR((('Raw Data 5Y'!AC7/'Raw Data 5Y'!AB7)^(1/5)-1)*100,"")</f>
        <v/>
      </c>
      <c r="R42" s="3">
        <f>IFERROR((('Raw Data 5Y'!AE7/'Raw Data 5Y'!AD7)^(1/5)-1)*100,"")</f>
        <v/>
      </c>
      <c r="S42" s="3">
        <f>IFERROR((('Raw Data 5Y'!AG7/'Raw Data 5Y'!AF7)^(1/5)-1)*100,"")</f>
        <v/>
      </c>
      <c r="T42" s="3">
        <f>IFERROR((('Raw Data 5Y'!AI7/'Raw Data 5Y'!AH7)^(1/5)-1)*100,"")</f>
        <v/>
      </c>
      <c r="U42" s="3">
        <f>IFERROR((('Raw Data 5Y'!AK7/'Raw Data 5Y'!AJ7)^(1/5)-1)*100,"")</f>
        <v/>
      </c>
      <c r="V42" s="3">
        <f>IF(AND(ISNUMBER(F42),COUNT(F$2:F$46)&gt;=4),IF(F42&gt;=QUARTILE(F$2:F$46,3),1,0),0)+IF(AND(ISNUMBER(G42),COUNT(G$2:G$46)&gt;=4),IF(G42&gt;=QUARTILE(G$2:G$46,3),1,0),0)+IF(AND(ISNUMBER(H42),COUNT(H$2:H$46)&gt;=4),IF(H42&gt;=QUARTILE(H$2:H$46,3),1,0),0)+IF(AND(ISNUMBER(I42),COUNT(I$2:I$46)&gt;=4),IF(I42&gt;=QUARTILE(I$2:I$46,3),1,0),0)+IF(AND(ISNUMBER(J42),COUNT(J$2:J$46)&gt;=4),IF(J42&gt;=QUARTILE(J$2:J$46,3),1,0),0)+IF(AND(ISNUMBER(K42),COUNT(K$2:K$46)&gt;=4),IF(K42&gt;=QUARTILE(K$2:K$46,3),1,0),0)+IF(AND(ISNUMBER(L42),COUNT(L$2:L$46)&gt;=4),IF(L42&gt;=QUARTILE(L$2:L$46,3),1,0),0)+IF(AND(ISNUMBER(M42),COUNT(M$2:M$46)&gt;=4),IF(M42&gt;=QUARTILE(M$2:M$46,3),1,0),0)+IF(AND(ISNUMBER(N42),COUNT(N$2:N$46)&gt;=4),IF(N42&gt;=QUARTILE(N$2:N$46,3),1,0),0)+IF(AND(ISNUMBER(O42),COUNT(O$2:O$46)&gt;=4),IF(O42&gt;=QUARTILE(O$2:O$46,3),1,0),0)+IF(AND(ISNUMBER(P42),COUNT(P$2:P$46)&gt;=4),IF(P42&gt;=QUARTILE(P$2:P$46,3),1,0),0)+IF(AND(ISNUMBER(Q42),COUNT(Q$2:Q$46)&gt;=4),IF(Q42&gt;=QUARTILE(Q$2:Q$46,3),1,0),0)+IF(AND(ISNUMBER(R42),COUNT(R$2:R$46)&gt;=4),IF(R42&gt;=QUARTILE(R$2:R$46,3),1,0),0)+IF(AND(ISNUMBER(S42),COUNT(S$2:S$46)&gt;=4),IF(S42&gt;=QUARTILE(S$2:S$46,3),1,0),0)+IF(AND(ISNUMBER(T42),COUNT(T$2:T$46)&gt;=4),IF(T42&gt;=QUARTILE(T$2:T$46,3),1,0),0)+IF(AND(ISNUMBER(U42),COUNT(U$2:U$46)&gt;=4),IF(U42&gt;=QUARTILE(U$2:U$46,3),1,0),0)</f>
        <v/>
      </c>
      <c r="W42" s="3">
        <f>IF(AND(ISNUMBER(F42),COUNT(F$2:F$46)&gt;=4),IF(F42&lt;=QUARTILE(F$2:F$46,1),1,0),0)+IF(AND(ISNUMBER(G42),COUNT(G$2:G$46)&gt;=4),IF(G42&lt;=QUARTILE(G$2:G$46,1),1,0),0)+IF(AND(ISNUMBER(H42),COUNT(H$2:H$46)&gt;=4),IF(H42&lt;=QUARTILE(H$2:H$46,1),1,0),0)+IF(AND(ISNUMBER(I42),COUNT(I$2:I$46)&gt;=4),IF(I42&lt;=QUARTILE(I$2:I$46,1),1,0),0)+IF(AND(ISNUMBER(J42),COUNT(J$2:J$46)&gt;=4),IF(J42&lt;=QUARTILE(J$2:J$46,1),1,0),0)+IF(AND(ISNUMBER(K42),COUNT(K$2:K$46)&gt;=4),IF(K42&lt;=QUARTILE(K$2:K$46,1),1,0),0)+IF(AND(ISNUMBER(L42),COUNT(L$2:L$46)&gt;=4),IF(L42&lt;=QUARTILE(L$2:L$46,1),1,0),0)+IF(AND(ISNUMBER(M42),COUNT(M$2:M$46)&gt;=4),IF(M42&lt;=QUARTILE(M$2:M$46,1),1,0),0)+IF(AND(ISNUMBER(N42),COUNT(N$2:N$46)&gt;=4),IF(N42&lt;=QUARTILE(N$2:N$46,1),1,0),0)+IF(AND(ISNUMBER(O42),COUNT(O$2:O$46)&gt;=4),IF(O42&lt;=QUARTILE(O$2:O$46,1),1,0),0)+IF(AND(ISNUMBER(P42),COUNT(P$2:P$46)&gt;=4),IF(P42&lt;=QUARTILE(P$2:P$46,1),1,0),0)+IF(AND(ISNUMBER(Q42),COUNT(Q$2:Q$46)&gt;=4),IF(Q42&lt;=QUARTILE(Q$2:Q$46,1),1,0),0)+IF(AND(ISNUMBER(R42),COUNT(R$2:R$46)&gt;=4),IF(R42&lt;=QUARTILE(R$2:R$46,1),1,0),0)+IF(AND(ISNUMBER(S42),COUNT(S$2:S$46)&gt;=4),IF(S42&lt;=QUARTILE(S$2:S$46,1),1,0),0)+IF(AND(ISNUMBER(T42),COUNT(T$2:T$46)&gt;=4),IF(T42&lt;=QUARTILE(T$2:T$46,1),1,0),0)+IF(AND(ISNUMBER(U42),COUNT(U$2:U$46)&gt;=4),IF(U42&lt;=QUARTILE(U$2:U$46,1),1,0),0)</f>
        <v/>
      </c>
      <c r="X42" s="3">
        <f>IF(W42=0,V42,ROUND(V42/W42,2))</f>
        <v/>
      </c>
      <c r="Y42" s="3">
        <f>IFERROR(IF(VLOOKUP(A42,'Raw Data 5Y'!A:AL,38,FALSE)="","none",VLOOKUP(A42,'Raw Data 5Y'!A:AL,38,FALSE)),"none")</f>
        <v/>
      </c>
      <c r="Z42" s="4" t="inlineStr">
        <is>
          <t>Source</t>
        </is>
      </c>
    </row>
    <row r="43">
      <c r="A43">
        <f>'Raw Data 5Y'!A9</f>
        <v/>
      </c>
      <c r="B43" s="3">
        <f>IFERROR((('Raw Data 5Y'!C9/'Raw Data 5Y'!B9)^(1/'Raw Data 5Y'!D9)-1)*100,"")</f>
        <v/>
      </c>
      <c r="C43" s="3">
        <f>'Raw Data 5Y'!E9</f>
        <v/>
      </c>
      <c r="D43" s="3">
        <f>INT('Raw Data 5Y'!D9)</f>
        <v/>
      </c>
      <c r="E43" s="3">
        <f>IFERROR(AVERAGE(F43:U43),"")</f>
        <v/>
      </c>
      <c r="F43" s="3">
        <f>IFERROR((('Raw Data 5Y'!G9/'Raw Data 5Y'!F9)^(1/5)-1)*100,"")</f>
        <v/>
      </c>
      <c r="G43" s="3">
        <f>IFERROR((('Raw Data 5Y'!I9/'Raw Data 5Y'!H9)^(1/5)-1)*100,"")</f>
        <v/>
      </c>
      <c r="H43" s="3">
        <f>IFERROR((('Raw Data 5Y'!K9/'Raw Data 5Y'!J9)^(1/5)-1)*100,"")</f>
        <v/>
      </c>
      <c r="I43" s="3">
        <f>IFERROR((('Raw Data 5Y'!M9/'Raw Data 5Y'!L9)^(1/5)-1)*100,"")</f>
        <v/>
      </c>
      <c r="J43" s="3">
        <f>IFERROR((('Raw Data 5Y'!O9/'Raw Data 5Y'!N9)^(1/5)-1)*100,"")</f>
        <v/>
      </c>
      <c r="K43" s="3">
        <f>IFERROR((('Raw Data 5Y'!Q9/'Raw Data 5Y'!P9)^(1/5)-1)*100,"")</f>
        <v/>
      </c>
      <c r="L43" s="3">
        <f>IFERROR((('Raw Data 5Y'!S9/'Raw Data 5Y'!R9)^(1/5)-1)*100,"")</f>
        <v/>
      </c>
      <c r="M43" s="3">
        <f>IFERROR((('Raw Data 5Y'!U9/'Raw Data 5Y'!T9)^(1/5)-1)*100,"")</f>
        <v/>
      </c>
      <c r="N43" s="3">
        <f>IFERROR((('Raw Data 5Y'!W9/'Raw Data 5Y'!V9)^(1/5)-1)*100,"")</f>
        <v/>
      </c>
      <c r="O43" s="3">
        <f>IFERROR((('Raw Data 5Y'!Y9/'Raw Data 5Y'!X9)^(1/5)-1)*100,"")</f>
        <v/>
      </c>
      <c r="P43" s="3">
        <f>IFERROR((('Raw Data 5Y'!AA9/'Raw Data 5Y'!Z9)^(1/5)-1)*100,"")</f>
        <v/>
      </c>
      <c r="Q43" s="3">
        <f>IFERROR((('Raw Data 5Y'!AC9/'Raw Data 5Y'!AB9)^(1/5)-1)*100,"")</f>
        <v/>
      </c>
      <c r="R43" s="3">
        <f>IFERROR((('Raw Data 5Y'!AE9/'Raw Data 5Y'!AD9)^(1/5)-1)*100,"")</f>
        <v/>
      </c>
      <c r="S43" s="3">
        <f>IFERROR((('Raw Data 5Y'!AG9/'Raw Data 5Y'!AF9)^(1/5)-1)*100,"")</f>
        <v/>
      </c>
      <c r="T43" s="3">
        <f>IFERROR((('Raw Data 5Y'!AI9/'Raw Data 5Y'!AH9)^(1/5)-1)*100,"")</f>
        <v/>
      </c>
      <c r="U43" s="3">
        <f>IFERROR((('Raw Data 5Y'!AK9/'Raw Data 5Y'!AJ9)^(1/5)-1)*100,"")</f>
        <v/>
      </c>
      <c r="V43" s="3">
        <f>IF(AND(ISNUMBER(F43),COUNT(F$2:F$46)&gt;=4),IF(F43&gt;=QUARTILE(F$2:F$46,3),1,0),0)+IF(AND(ISNUMBER(G43),COUNT(G$2:G$46)&gt;=4),IF(G43&gt;=QUARTILE(G$2:G$46,3),1,0),0)+IF(AND(ISNUMBER(H43),COUNT(H$2:H$46)&gt;=4),IF(H43&gt;=QUARTILE(H$2:H$46,3),1,0),0)+IF(AND(ISNUMBER(I43),COUNT(I$2:I$46)&gt;=4),IF(I43&gt;=QUARTILE(I$2:I$46,3),1,0),0)+IF(AND(ISNUMBER(J43),COUNT(J$2:J$46)&gt;=4),IF(J43&gt;=QUARTILE(J$2:J$46,3),1,0),0)+IF(AND(ISNUMBER(K43),COUNT(K$2:K$46)&gt;=4),IF(K43&gt;=QUARTILE(K$2:K$46,3),1,0),0)+IF(AND(ISNUMBER(L43),COUNT(L$2:L$46)&gt;=4),IF(L43&gt;=QUARTILE(L$2:L$46,3),1,0),0)+IF(AND(ISNUMBER(M43),COUNT(M$2:M$46)&gt;=4),IF(M43&gt;=QUARTILE(M$2:M$46,3),1,0),0)+IF(AND(ISNUMBER(N43),COUNT(N$2:N$46)&gt;=4),IF(N43&gt;=QUARTILE(N$2:N$46,3),1,0),0)+IF(AND(ISNUMBER(O43),COUNT(O$2:O$46)&gt;=4),IF(O43&gt;=QUARTILE(O$2:O$46,3),1,0),0)+IF(AND(ISNUMBER(P43),COUNT(P$2:P$46)&gt;=4),IF(P43&gt;=QUARTILE(P$2:P$46,3),1,0),0)+IF(AND(ISNUMBER(Q43),COUNT(Q$2:Q$46)&gt;=4),IF(Q43&gt;=QUARTILE(Q$2:Q$46,3),1,0),0)+IF(AND(ISNUMBER(R43),COUNT(R$2:R$46)&gt;=4),IF(R43&gt;=QUARTILE(R$2:R$46,3),1,0),0)+IF(AND(ISNUMBER(S43),COUNT(S$2:S$46)&gt;=4),IF(S43&gt;=QUARTILE(S$2:S$46,3),1,0),0)+IF(AND(ISNUMBER(T43),COUNT(T$2:T$46)&gt;=4),IF(T43&gt;=QUARTILE(T$2:T$46,3),1,0),0)+IF(AND(ISNUMBER(U43),COUNT(U$2:U$46)&gt;=4),IF(U43&gt;=QUARTILE(U$2:U$46,3),1,0),0)</f>
        <v/>
      </c>
      <c r="W43" s="3">
        <f>IF(AND(ISNUMBER(F43),COUNT(F$2:F$46)&gt;=4),IF(F43&lt;=QUARTILE(F$2:F$46,1),1,0),0)+IF(AND(ISNUMBER(G43),COUNT(G$2:G$46)&gt;=4),IF(G43&lt;=QUARTILE(G$2:G$46,1),1,0),0)+IF(AND(ISNUMBER(H43),COUNT(H$2:H$46)&gt;=4),IF(H43&lt;=QUARTILE(H$2:H$46,1),1,0),0)+IF(AND(ISNUMBER(I43),COUNT(I$2:I$46)&gt;=4),IF(I43&lt;=QUARTILE(I$2:I$46,1),1,0),0)+IF(AND(ISNUMBER(J43),COUNT(J$2:J$46)&gt;=4),IF(J43&lt;=QUARTILE(J$2:J$46,1),1,0),0)+IF(AND(ISNUMBER(K43),COUNT(K$2:K$46)&gt;=4),IF(K43&lt;=QUARTILE(K$2:K$46,1),1,0),0)+IF(AND(ISNUMBER(L43),COUNT(L$2:L$46)&gt;=4),IF(L43&lt;=QUARTILE(L$2:L$46,1),1,0),0)+IF(AND(ISNUMBER(M43),COUNT(M$2:M$46)&gt;=4),IF(M43&lt;=QUARTILE(M$2:M$46,1),1,0),0)+IF(AND(ISNUMBER(N43),COUNT(N$2:N$46)&gt;=4),IF(N43&lt;=QUARTILE(N$2:N$46,1),1,0),0)+IF(AND(ISNUMBER(O43),COUNT(O$2:O$46)&gt;=4),IF(O43&lt;=QUARTILE(O$2:O$46,1),1,0),0)+IF(AND(ISNUMBER(P43),COUNT(P$2:P$46)&gt;=4),IF(P43&lt;=QUARTILE(P$2:P$46,1),1,0),0)+IF(AND(ISNUMBER(Q43),COUNT(Q$2:Q$46)&gt;=4),IF(Q43&lt;=QUARTILE(Q$2:Q$46,1),1,0),0)+IF(AND(ISNUMBER(R43),COUNT(R$2:R$46)&gt;=4),IF(R43&lt;=QUARTILE(R$2:R$46,1),1,0),0)+IF(AND(ISNUMBER(S43),COUNT(S$2:S$46)&gt;=4),IF(S43&lt;=QUARTILE(S$2:S$46,1),1,0),0)+IF(AND(ISNUMBER(T43),COUNT(T$2:T$46)&gt;=4),IF(T43&lt;=QUARTILE(T$2:T$46,1),1,0),0)+IF(AND(ISNUMBER(U43),COUNT(U$2:U$46)&gt;=4),IF(U43&lt;=QUARTILE(U$2:U$46,1),1,0),0)</f>
        <v/>
      </c>
      <c r="X43" s="3">
        <f>IF(W43=0,V43,ROUND(V43/W43,2))</f>
        <v/>
      </c>
      <c r="Y43" s="3">
        <f>IFERROR(IF(VLOOKUP(A43,'Raw Data 5Y'!A:AL,38,FALSE)="","none",VLOOKUP(A43,'Raw Data 5Y'!A:AL,38,FALSE)),"none")</f>
        <v/>
      </c>
      <c r="Z43" s="4" t="inlineStr">
        <is>
          <t>Source</t>
        </is>
      </c>
    </row>
    <row r="44">
      <c r="A44">
        <f>'Raw Data 5Y'!A6</f>
        <v/>
      </c>
      <c r="B44" s="3">
        <f>IFERROR((('Raw Data 5Y'!C6/'Raw Data 5Y'!B6)^(1/'Raw Data 5Y'!D6)-1)*100,"")</f>
        <v/>
      </c>
      <c r="C44" s="3">
        <f>'Raw Data 5Y'!E6</f>
        <v/>
      </c>
      <c r="D44" s="3">
        <f>INT('Raw Data 5Y'!D6)</f>
        <v/>
      </c>
      <c r="E44" s="3">
        <f>IFERROR(AVERAGE(F44:U44),"")</f>
        <v/>
      </c>
      <c r="F44" s="3">
        <f>IFERROR((('Raw Data 5Y'!G6/'Raw Data 5Y'!F6)^(1/5)-1)*100,"")</f>
        <v/>
      </c>
      <c r="G44" s="3">
        <f>IFERROR((('Raw Data 5Y'!I6/'Raw Data 5Y'!H6)^(1/5)-1)*100,"")</f>
        <v/>
      </c>
      <c r="H44" s="3">
        <f>IFERROR((('Raw Data 5Y'!K6/'Raw Data 5Y'!J6)^(1/5)-1)*100,"")</f>
        <v/>
      </c>
      <c r="I44" s="3">
        <f>IFERROR((('Raw Data 5Y'!M6/'Raw Data 5Y'!L6)^(1/5)-1)*100,"")</f>
        <v/>
      </c>
      <c r="J44" s="3">
        <f>IFERROR((('Raw Data 5Y'!O6/'Raw Data 5Y'!N6)^(1/5)-1)*100,"")</f>
        <v/>
      </c>
      <c r="K44" s="3">
        <f>IFERROR((('Raw Data 5Y'!Q6/'Raw Data 5Y'!P6)^(1/5)-1)*100,"")</f>
        <v/>
      </c>
      <c r="L44" s="3">
        <f>IFERROR((('Raw Data 5Y'!S6/'Raw Data 5Y'!R6)^(1/5)-1)*100,"")</f>
        <v/>
      </c>
      <c r="M44" s="3">
        <f>IFERROR((('Raw Data 5Y'!U6/'Raw Data 5Y'!T6)^(1/5)-1)*100,"")</f>
        <v/>
      </c>
      <c r="N44" s="3">
        <f>IFERROR((('Raw Data 5Y'!W6/'Raw Data 5Y'!V6)^(1/5)-1)*100,"")</f>
        <v/>
      </c>
      <c r="O44" s="3">
        <f>IFERROR((('Raw Data 5Y'!Y6/'Raw Data 5Y'!X6)^(1/5)-1)*100,"")</f>
        <v/>
      </c>
      <c r="P44" s="3">
        <f>IFERROR((('Raw Data 5Y'!AA6/'Raw Data 5Y'!Z6)^(1/5)-1)*100,"")</f>
        <v/>
      </c>
      <c r="Q44" s="3">
        <f>IFERROR((('Raw Data 5Y'!AC6/'Raw Data 5Y'!AB6)^(1/5)-1)*100,"")</f>
        <v/>
      </c>
      <c r="R44" s="3">
        <f>IFERROR((('Raw Data 5Y'!AE6/'Raw Data 5Y'!AD6)^(1/5)-1)*100,"")</f>
        <v/>
      </c>
      <c r="S44" s="3">
        <f>IFERROR((('Raw Data 5Y'!AG6/'Raw Data 5Y'!AF6)^(1/5)-1)*100,"")</f>
        <v/>
      </c>
      <c r="T44" s="3">
        <f>IFERROR((('Raw Data 5Y'!AI6/'Raw Data 5Y'!AH6)^(1/5)-1)*100,"")</f>
        <v/>
      </c>
      <c r="U44" s="3">
        <f>IFERROR((('Raw Data 5Y'!AK6/'Raw Data 5Y'!AJ6)^(1/5)-1)*100,"")</f>
        <v/>
      </c>
      <c r="V44" s="3">
        <f>IF(AND(ISNUMBER(F44),COUNT(F$2:F$46)&gt;=4),IF(F44&gt;=QUARTILE(F$2:F$46,3),1,0),0)+IF(AND(ISNUMBER(G44),COUNT(G$2:G$46)&gt;=4),IF(G44&gt;=QUARTILE(G$2:G$46,3),1,0),0)+IF(AND(ISNUMBER(H44),COUNT(H$2:H$46)&gt;=4),IF(H44&gt;=QUARTILE(H$2:H$46,3),1,0),0)+IF(AND(ISNUMBER(I44),COUNT(I$2:I$46)&gt;=4),IF(I44&gt;=QUARTILE(I$2:I$46,3),1,0),0)+IF(AND(ISNUMBER(J44),COUNT(J$2:J$46)&gt;=4),IF(J44&gt;=QUARTILE(J$2:J$46,3),1,0),0)+IF(AND(ISNUMBER(K44),COUNT(K$2:K$46)&gt;=4),IF(K44&gt;=QUARTILE(K$2:K$46,3),1,0),0)+IF(AND(ISNUMBER(L44),COUNT(L$2:L$46)&gt;=4),IF(L44&gt;=QUARTILE(L$2:L$46,3),1,0),0)+IF(AND(ISNUMBER(M44),COUNT(M$2:M$46)&gt;=4),IF(M44&gt;=QUARTILE(M$2:M$46,3),1,0),0)+IF(AND(ISNUMBER(N44),COUNT(N$2:N$46)&gt;=4),IF(N44&gt;=QUARTILE(N$2:N$46,3),1,0),0)+IF(AND(ISNUMBER(O44),COUNT(O$2:O$46)&gt;=4),IF(O44&gt;=QUARTILE(O$2:O$46,3),1,0),0)+IF(AND(ISNUMBER(P44),COUNT(P$2:P$46)&gt;=4),IF(P44&gt;=QUARTILE(P$2:P$46,3),1,0),0)+IF(AND(ISNUMBER(Q44),COUNT(Q$2:Q$46)&gt;=4),IF(Q44&gt;=QUARTILE(Q$2:Q$46,3),1,0),0)+IF(AND(ISNUMBER(R44),COUNT(R$2:R$46)&gt;=4),IF(R44&gt;=QUARTILE(R$2:R$46,3),1,0),0)+IF(AND(ISNUMBER(S44),COUNT(S$2:S$46)&gt;=4),IF(S44&gt;=QUARTILE(S$2:S$46,3),1,0),0)+IF(AND(ISNUMBER(T44),COUNT(T$2:T$46)&gt;=4),IF(T44&gt;=QUARTILE(T$2:T$46,3),1,0),0)+IF(AND(ISNUMBER(U44),COUNT(U$2:U$46)&gt;=4),IF(U44&gt;=QUARTILE(U$2:U$46,3),1,0),0)</f>
        <v/>
      </c>
      <c r="W44" s="3">
        <f>IF(AND(ISNUMBER(F44),COUNT(F$2:F$46)&gt;=4),IF(F44&lt;=QUARTILE(F$2:F$46,1),1,0),0)+IF(AND(ISNUMBER(G44),COUNT(G$2:G$46)&gt;=4),IF(G44&lt;=QUARTILE(G$2:G$46,1),1,0),0)+IF(AND(ISNUMBER(H44),COUNT(H$2:H$46)&gt;=4),IF(H44&lt;=QUARTILE(H$2:H$46,1),1,0),0)+IF(AND(ISNUMBER(I44),COUNT(I$2:I$46)&gt;=4),IF(I44&lt;=QUARTILE(I$2:I$46,1),1,0),0)+IF(AND(ISNUMBER(J44),COUNT(J$2:J$46)&gt;=4),IF(J44&lt;=QUARTILE(J$2:J$46,1),1,0),0)+IF(AND(ISNUMBER(K44),COUNT(K$2:K$46)&gt;=4),IF(K44&lt;=QUARTILE(K$2:K$46,1),1,0),0)+IF(AND(ISNUMBER(L44),COUNT(L$2:L$46)&gt;=4),IF(L44&lt;=QUARTILE(L$2:L$46,1),1,0),0)+IF(AND(ISNUMBER(M44),COUNT(M$2:M$46)&gt;=4),IF(M44&lt;=QUARTILE(M$2:M$46,1),1,0),0)+IF(AND(ISNUMBER(N44),COUNT(N$2:N$46)&gt;=4),IF(N44&lt;=QUARTILE(N$2:N$46,1),1,0),0)+IF(AND(ISNUMBER(O44),COUNT(O$2:O$46)&gt;=4),IF(O44&lt;=QUARTILE(O$2:O$46,1),1,0),0)+IF(AND(ISNUMBER(P44),COUNT(P$2:P$46)&gt;=4),IF(P44&lt;=QUARTILE(P$2:P$46,1),1,0),0)+IF(AND(ISNUMBER(Q44),COUNT(Q$2:Q$46)&gt;=4),IF(Q44&lt;=QUARTILE(Q$2:Q$46,1),1,0),0)+IF(AND(ISNUMBER(R44),COUNT(R$2:R$46)&gt;=4),IF(R44&lt;=QUARTILE(R$2:R$46,1),1,0),0)+IF(AND(ISNUMBER(S44),COUNT(S$2:S$46)&gt;=4),IF(S44&lt;=QUARTILE(S$2:S$46,1),1,0),0)+IF(AND(ISNUMBER(T44),COUNT(T$2:T$46)&gt;=4),IF(T44&lt;=QUARTILE(T$2:T$46,1),1,0),0)+IF(AND(ISNUMBER(U44),COUNT(U$2:U$46)&gt;=4),IF(U44&lt;=QUARTILE(U$2:U$46,1),1,0),0)</f>
        <v/>
      </c>
      <c r="X44" s="3">
        <f>IF(W44=0,V44,ROUND(V44/W44,2))</f>
        <v/>
      </c>
      <c r="Y44" s="3">
        <f>IFERROR(IF(VLOOKUP(A44,'Raw Data 5Y'!A:AL,38,FALSE)="","none",VLOOKUP(A44,'Raw Data 5Y'!A:AL,38,FALSE)),"none")</f>
        <v/>
      </c>
      <c r="Z44" s="4" t="inlineStr">
        <is>
          <t>Source</t>
        </is>
      </c>
    </row>
    <row r="45">
      <c r="A45">
        <f>'Raw Data 5Y'!A30</f>
        <v/>
      </c>
      <c r="B45" s="3">
        <f>IFERROR((('Raw Data 5Y'!C30/'Raw Data 5Y'!B30)^(1/'Raw Data 5Y'!D30)-1)*100,"")</f>
        <v/>
      </c>
      <c r="C45" s="3">
        <f>'Raw Data 5Y'!E30</f>
        <v/>
      </c>
      <c r="D45" s="3">
        <f>INT('Raw Data 5Y'!D30)</f>
        <v/>
      </c>
      <c r="E45" s="3">
        <f>IFERROR(AVERAGE(F45:U45),"")</f>
        <v/>
      </c>
      <c r="F45" s="3">
        <f>IFERROR((('Raw Data 5Y'!G30/'Raw Data 5Y'!F30)^(1/5)-1)*100,"")</f>
        <v/>
      </c>
      <c r="G45" s="3">
        <f>IFERROR((('Raw Data 5Y'!I30/'Raw Data 5Y'!H30)^(1/5)-1)*100,"")</f>
        <v/>
      </c>
      <c r="H45" s="3">
        <f>IFERROR((('Raw Data 5Y'!K30/'Raw Data 5Y'!J30)^(1/5)-1)*100,"")</f>
        <v/>
      </c>
      <c r="I45" s="3">
        <f>IFERROR((('Raw Data 5Y'!M30/'Raw Data 5Y'!L30)^(1/5)-1)*100,"")</f>
        <v/>
      </c>
      <c r="J45" s="3">
        <f>IFERROR((('Raw Data 5Y'!O30/'Raw Data 5Y'!N30)^(1/5)-1)*100,"")</f>
        <v/>
      </c>
      <c r="K45" s="3">
        <f>IFERROR((('Raw Data 5Y'!Q30/'Raw Data 5Y'!P30)^(1/5)-1)*100,"")</f>
        <v/>
      </c>
      <c r="L45" s="3">
        <f>IFERROR((('Raw Data 5Y'!S30/'Raw Data 5Y'!R30)^(1/5)-1)*100,"")</f>
        <v/>
      </c>
      <c r="M45" s="3">
        <f>IFERROR((('Raw Data 5Y'!U30/'Raw Data 5Y'!T30)^(1/5)-1)*100,"")</f>
        <v/>
      </c>
      <c r="N45" s="3">
        <f>IFERROR((('Raw Data 5Y'!W30/'Raw Data 5Y'!V30)^(1/5)-1)*100,"")</f>
        <v/>
      </c>
      <c r="O45" s="3">
        <f>IFERROR((('Raw Data 5Y'!Y30/'Raw Data 5Y'!X30)^(1/5)-1)*100,"")</f>
        <v/>
      </c>
      <c r="P45" s="3">
        <f>IFERROR((('Raw Data 5Y'!AA30/'Raw Data 5Y'!Z30)^(1/5)-1)*100,"")</f>
        <v/>
      </c>
      <c r="Q45" s="3">
        <f>IFERROR((('Raw Data 5Y'!AC30/'Raw Data 5Y'!AB30)^(1/5)-1)*100,"")</f>
        <v/>
      </c>
      <c r="R45" s="3">
        <f>IFERROR((('Raw Data 5Y'!AE30/'Raw Data 5Y'!AD30)^(1/5)-1)*100,"")</f>
        <v/>
      </c>
      <c r="S45" s="3">
        <f>IFERROR((('Raw Data 5Y'!AG30/'Raw Data 5Y'!AF30)^(1/5)-1)*100,"")</f>
        <v/>
      </c>
      <c r="T45" s="3">
        <f>IFERROR((('Raw Data 5Y'!AI30/'Raw Data 5Y'!AH30)^(1/5)-1)*100,"")</f>
        <v/>
      </c>
      <c r="U45" s="3">
        <f>IFERROR((('Raw Data 5Y'!AK30/'Raw Data 5Y'!AJ30)^(1/5)-1)*100,"")</f>
        <v/>
      </c>
      <c r="V45" s="3">
        <f>IF(AND(ISNUMBER(F45),COUNT(F$2:F$46)&gt;=4),IF(F45&gt;=QUARTILE(F$2:F$46,3),1,0),0)+IF(AND(ISNUMBER(G45),COUNT(G$2:G$46)&gt;=4),IF(G45&gt;=QUARTILE(G$2:G$46,3),1,0),0)+IF(AND(ISNUMBER(H45),COUNT(H$2:H$46)&gt;=4),IF(H45&gt;=QUARTILE(H$2:H$46,3),1,0),0)+IF(AND(ISNUMBER(I45),COUNT(I$2:I$46)&gt;=4),IF(I45&gt;=QUARTILE(I$2:I$46,3),1,0),0)+IF(AND(ISNUMBER(J45),COUNT(J$2:J$46)&gt;=4),IF(J45&gt;=QUARTILE(J$2:J$46,3),1,0),0)+IF(AND(ISNUMBER(K45),COUNT(K$2:K$46)&gt;=4),IF(K45&gt;=QUARTILE(K$2:K$46,3),1,0),0)+IF(AND(ISNUMBER(L45),COUNT(L$2:L$46)&gt;=4),IF(L45&gt;=QUARTILE(L$2:L$46,3),1,0),0)+IF(AND(ISNUMBER(M45),COUNT(M$2:M$46)&gt;=4),IF(M45&gt;=QUARTILE(M$2:M$46,3),1,0),0)+IF(AND(ISNUMBER(N45),COUNT(N$2:N$46)&gt;=4),IF(N45&gt;=QUARTILE(N$2:N$46,3),1,0),0)+IF(AND(ISNUMBER(O45),COUNT(O$2:O$46)&gt;=4),IF(O45&gt;=QUARTILE(O$2:O$46,3),1,0),0)+IF(AND(ISNUMBER(P45),COUNT(P$2:P$46)&gt;=4),IF(P45&gt;=QUARTILE(P$2:P$46,3),1,0),0)+IF(AND(ISNUMBER(Q45),COUNT(Q$2:Q$46)&gt;=4),IF(Q45&gt;=QUARTILE(Q$2:Q$46,3),1,0),0)+IF(AND(ISNUMBER(R45),COUNT(R$2:R$46)&gt;=4),IF(R45&gt;=QUARTILE(R$2:R$46,3),1,0),0)+IF(AND(ISNUMBER(S45),COUNT(S$2:S$46)&gt;=4),IF(S45&gt;=QUARTILE(S$2:S$46,3),1,0),0)+IF(AND(ISNUMBER(T45),COUNT(T$2:T$46)&gt;=4),IF(T45&gt;=QUARTILE(T$2:T$46,3),1,0),0)+IF(AND(ISNUMBER(U45),COUNT(U$2:U$46)&gt;=4),IF(U45&gt;=QUARTILE(U$2:U$46,3),1,0),0)</f>
        <v/>
      </c>
      <c r="W45" s="3">
        <f>IF(AND(ISNUMBER(F45),COUNT(F$2:F$46)&gt;=4),IF(F45&lt;=QUARTILE(F$2:F$46,1),1,0),0)+IF(AND(ISNUMBER(G45),COUNT(G$2:G$46)&gt;=4),IF(G45&lt;=QUARTILE(G$2:G$46,1),1,0),0)+IF(AND(ISNUMBER(H45),COUNT(H$2:H$46)&gt;=4),IF(H45&lt;=QUARTILE(H$2:H$46,1),1,0),0)+IF(AND(ISNUMBER(I45),COUNT(I$2:I$46)&gt;=4),IF(I45&lt;=QUARTILE(I$2:I$46,1),1,0),0)+IF(AND(ISNUMBER(J45),COUNT(J$2:J$46)&gt;=4),IF(J45&lt;=QUARTILE(J$2:J$46,1),1,0),0)+IF(AND(ISNUMBER(K45),COUNT(K$2:K$46)&gt;=4),IF(K45&lt;=QUARTILE(K$2:K$46,1),1,0),0)+IF(AND(ISNUMBER(L45),COUNT(L$2:L$46)&gt;=4),IF(L45&lt;=QUARTILE(L$2:L$46,1),1,0),0)+IF(AND(ISNUMBER(M45),COUNT(M$2:M$46)&gt;=4),IF(M45&lt;=QUARTILE(M$2:M$46,1),1,0),0)+IF(AND(ISNUMBER(N45),COUNT(N$2:N$46)&gt;=4),IF(N45&lt;=QUARTILE(N$2:N$46,1),1,0),0)+IF(AND(ISNUMBER(O45),COUNT(O$2:O$46)&gt;=4),IF(O45&lt;=QUARTILE(O$2:O$46,1),1,0),0)+IF(AND(ISNUMBER(P45),COUNT(P$2:P$46)&gt;=4),IF(P45&lt;=QUARTILE(P$2:P$46,1),1,0),0)+IF(AND(ISNUMBER(Q45),COUNT(Q$2:Q$46)&gt;=4),IF(Q45&lt;=QUARTILE(Q$2:Q$46,1),1,0),0)+IF(AND(ISNUMBER(R45),COUNT(R$2:R$46)&gt;=4),IF(R45&lt;=QUARTILE(R$2:R$46,1),1,0),0)+IF(AND(ISNUMBER(S45),COUNT(S$2:S$46)&gt;=4),IF(S45&lt;=QUARTILE(S$2:S$46,1),1,0),0)+IF(AND(ISNUMBER(T45),COUNT(T$2:T$46)&gt;=4),IF(T45&lt;=QUARTILE(T$2:T$46,1),1,0),0)+IF(AND(ISNUMBER(U45),COUNT(U$2:U$46)&gt;=4),IF(U45&lt;=QUARTILE(U$2:U$46,1),1,0),0)</f>
        <v/>
      </c>
      <c r="X45" s="3">
        <f>IF(W45=0,V45,ROUND(V45/W45,2))</f>
        <v/>
      </c>
      <c r="Y45" s="3">
        <f>IFERROR(IF(VLOOKUP(A45,'Raw Data 5Y'!A:AL,38,FALSE)="","none",VLOOKUP(A45,'Raw Data 5Y'!A:AL,38,FALSE)),"none")</f>
        <v/>
      </c>
      <c r="Z45" s="4" t="inlineStr">
        <is>
          <t>Source</t>
        </is>
      </c>
    </row>
    <row r="46">
      <c r="A46">
        <f>'Raw Data 5Y'!A2</f>
        <v/>
      </c>
      <c r="B46" s="3">
        <f>IFERROR((('Raw Data 5Y'!C2/'Raw Data 5Y'!B2)^(1/'Raw Data 5Y'!D2)-1)*100,"")</f>
        <v/>
      </c>
      <c r="C46" s="3">
        <f>'Raw Data 5Y'!E2</f>
        <v/>
      </c>
      <c r="D46" s="3">
        <f>INT('Raw Data 5Y'!D2)</f>
        <v/>
      </c>
      <c r="E46" s="3">
        <f>IFERROR(AVERAGE(F46:U46),"")</f>
        <v/>
      </c>
      <c r="F46" s="3">
        <f>IFERROR((('Raw Data 5Y'!G2/'Raw Data 5Y'!F2)^(1/5)-1)*100,"")</f>
        <v/>
      </c>
      <c r="G46" s="3">
        <f>IFERROR((('Raw Data 5Y'!I2/'Raw Data 5Y'!H2)^(1/5)-1)*100,"")</f>
        <v/>
      </c>
      <c r="H46" s="3">
        <f>IFERROR((('Raw Data 5Y'!K2/'Raw Data 5Y'!J2)^(1/5)-1)*100,"")</f>
        <v/>
      </c>
      <c r="I46" s="3">
        <f>IFERROR((('Raw Data 5Y'!M2/'Raw Data 5Y'!L2)^(1/5)-1)*100,"")</f>
        <v/>
      </c>
      <c r="J46" s="3">
        <f>IFERROR((('Raw Data 5Y'!O2/'Raw Data 5Y'!N2)^(1/5)-1)*100,"")</f>
        <v/>
      </c>
      <c r="K46" s="3">
        <f>IFERROR((('Raw Data 5Y'!Q2/'Raw Data 5Y'!P2)^(1/5)-1)*100,"")</f>
        <v/>
      </c>
      <c r="L46" s="3">
        <f>IFERROR((('Raw Data 5Y'!S2/'Raw Data 5Y'!R2)^(1/5)-1)*100,"")</f>
        <v/>
      </c>
      <c r="M46" s="3">
        <f>IFERROR((('Raw Data 5Y'!U2/'Raw Data 5Y'!T2)^(1/5)-1)*100,"")</f>
        <v/>
      </c>
      <c r="N46" s="3">
        <f>IFERROR((('Raw Data 5Y'!W2/'Raw Data 5Y'!V2)^(1/5)-1)*100,"")</f>
        <v/>
      </c>
      <c r="O46" s="3">
        <f>IFERROR((('Raw Data 5Y'!Y2/'Raw Data 5Y'!X2)^(1/5)-1)*100,"")</f>
        <v/>
      </c>
      <c r="P46" s="3">
        <f>IFERROR((('Raw Data 5Y'!AA2/'Raw Data 5Y'!Z2)^(1/5)-1)*100,"")</f>
        <v/>
      </c>
      <c r="Q46" s="3">
        <f>IFERROR((('Raw Data 5Y'!AC2/'Raw Data 5Y'!AB2)^(1/5)-1)*100,"")</f>
        <v/>
      </c>
      <c r="R46" s="3">
        <f>IFERROR((('Raw Data 5Y'!AE2/'Raw Data 5Y'!AD2)^(1/5)-1)*100,"")</f>
        <v/>
      </c>
      <c r="S46" s="3">
        <f>IFERROR((('Raw Data 5Y'!AG2/'Raw Data 5Y'!AF2)^(1/5)-1)*100,"")</f>
        <v/>
      </c>
      <c r="T46" s="3">
        <f>IFERROR((('Raw Data 5Y'!AI2/'Raw Data 5Y'!AH2)^(1/5)-1)*100,"")</f>
        <v/>
      </c>
      <c r="U46" s="3">
        <f>IFERROR((('Raw Data 5Y'!AK2/'Raw Data 5Y'!AJ2)^(1/5)-1)*100,"")</f>
        <v/>
      </c>
      <c r="V46" s="3">
        <f>IF(AND(ISNUMBER(F46),COUNT(F$2:F$46)&gt;=4),IF(F46&gt;=QUARTILE(F$2:F$46,3),1,0),0)+IF(AND(ISNUMBER(G46),COUNT(G$2:G$46)&gt;=4),IF(G46&gt;=QUARTILE(G$2:G$46,3),1,0),0)+IF(AND(ISNUMBER(H46),COUNT(H$2:H$46)&gt;=4),IF(H46&gt;=QUARTILE(H$2:H$46,3),1,0),0)+IF(AND(ISNUMBER(I46),COUNT(I$2:I$46)&gt;=4),IF(I46&gt;=QUARTILE(I$2:I$46,3),1,0),0)+IF(AND(ISNUMBER(J46),COUNT(J$2:J$46)&gt;=4),IF(J46&gt;=QUARTILE(J$2:J$46,3),1,0),0)+IF(AND(ISNUMBER(K46),COUNT(K$2:K$46)&gt;=4),IF(K46&gt;=QUARTILE(K$2:K$46,3),1,0),0)+IF(AND(ISNUMBER(L46),COUNT(L$2:L$46)&gt;=4),IF(L46&gt;=QUARTILE(L$2:L$46,3),1,0),0)+IF(AND(ISNUMBER(M46),COUNT(M$2:M$46)&gt;=4),IF(M46&gt;=QUARTILE(M$2:M$46,3),1,0),0)+IF(AND(ISNUMBER(N46),COUNT(N$2:N$46)&gt;=4),IF(N46&gt;=QUARTILE(N$2:N$46,3),1,0),0)+IF(AND(ISNUMBER(O46),COUNT(O$2:O$46)&gt;=4),IF(O46&gt;=QUARTILE(O$2:O$46,3),1,0),0)+IF(AND(ISNUMBER(P46),COUNT(P$2:P$46)&gt;=4),IF(P46&gt;=QUARTILE(P$2:P$46,3),1,0),0)+IF(AND(ISNUMBER(Q46),COUNT(Q$2:Q$46)&gt;=4),IF(Q46&gt;=QUARTILE(Q$2:Q$46,3),1,0),0)+IF(AND(ISNUMBER(R46),COUNT(R$2:R$46)&gt;=4),IF(R46&gt;=QUARTILE(R$2:R$46,3),1,0),0)+IF(AND(ISNUMBER(S46),COUNT(S$2:S$46)&gt;=4),IF(S46&gt;=QUARTILE(S$2:S$46,3),1,0),0)+IF(AND(ISNUMBER(T46),COUNT(T$2:T$46)&gt;=4),IF(T46&gt;=QUARTILE(T$2:T$46,3),1,0),0)+IF(AND(ISNUMBER(U46),COUNT(U$2:U$46)&gt;=4),IF(U46&gt;=QUARTILE(U$2:U$46,3),1,0),0)</f>
        <v/>
      </c>
      <c r="W46" s="3">
        <f>IF(AND(ISNUMBER(F46),COUNT(F$2:F$46)&gt;=4),IF(F46&lt;=QUARTILE(F$2:F$46,1),1,0),0)+IF(AND(ISNUMBER(G46),COUNT(G$2:G$46)&gt;=4),IF(G46&lt;=QUARTILE(G$2:G$46,1),1,0),0)+IF(AND(ISNUMBER(H46),COUNT(H$2:H$46)&gt;=4),IF(H46&lt;=QUARTILE(H$2:H$46,1),1,0),0)+IF(AND(ISNUMBER(I46),COUNT(I$2:I$46)&gt;=4),IF(I46&lt;=QUARTILE(I$2:I$46,1),1,0),0)+IF(AND(ISNUMBER(J46),COUNT(J$2:J$46)&gt;=4),IF(J46&lt;=QUARTILE(J$2:J$46,1),1,0),0)+IF(AND(ISNUMBER(K46),COUNT(K$2:K$46)&gt;=4),IF(K46&lt;=QUARTILE(K$2:K$46,1),1,0),0)+IF(AND(ISNUMBER(L46),COUNT(L$2:L$46)&gt;=4),IF(L46&lt;=QUARTILE(L$2:L$46,1),1,0),0)+IF(AND(ISNUMBER(M46),COUNT(M$2:M$46)&gt;=4),IF(M46&lt;=QUARTILE(M$2:M$46,1),1,0),0)+IF(AND(ISNUMBER(N46),COUNT(N$2:N$46)&gt;=4),IF(N46&lt;=QUARTILE(N$2:N$46,1),1,0),0)+IF(AND(ISNUMBER(O46),COUNT(O$2:O$46)&gt;=4),IF(O46&lt;=QUARTILE(O$2:O$46,1),1,0),0)+IF(AND(ISNUMBER(P46),COUNT(P$2:P$46)&gt;=4),IF(P46&lt;=QUARTILE(P$2:P$46,1),1,0),0)+IF(AND(ISNUMBER(Q46),COUNT(Q$2:Q$46)&gt;=4),IF(Q46&lt;=QUARTILE(Q$2:Q$46,1),1,0),0)+IF(AND(ISNUMBER(R46),COUNT(R$2:R$46)&gt;=4),IF(R46&lt;=QUARTILE(R$2:R$46,1),1,0),0)+IF(AND(ISNUMBER(S46),COUNT(S$2:S$46)&gt;=4),IF(S46&lt;=QUARTILE(S$2:S$46,1),1,0),0)+IF(AND(ISNUMBER(T46),COUNT(T$2:T$46)&gt;=4),IF(T46&lt;=QUARTILE(T$2:T$46,1),1,0),0)+IF(AND(ISNUMBER(U46),COUNT(U$2:U$46)&gt;=4),IF(U46&lt;=QUARTILE(U$2:U$46,1),1,0),0)</f>
        <v/>
      </c>
      <c r="X46" s="3">
        <f>IF(W46=0,V46,ROUND(V46/W46,2))</f>
        <v/>
      </c>
      <c r="Y46" s="3">
        <f>IFERROR(IF(VLOOKUP(A46,'Raw Data 5Y'!A:AL,38,FALSE)="","none",VLOOKUP(A46,'Raw Data 5Y'!A:AL,38,FALSE)),"none")</f>
        <v/>
      </c>
      <c r="Z46" s="4" t="inlineStr">
        <is>
          <t>Source</t>
        </is>
      </c>
    </row>
  </sheetData>
  <autoFilter ref="A1:Y46">
    <sortState ref="A2:Y46">
      <sortCondition descending="1" ref="X1:X46"/>
    </sortState>
  </autoFilter>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2026-04-23T09:37:28Z</dcterms:created>
  <dcterms:modified xmlns:dcterms="http://purl.org/dc/terms/" xmlns:xsi="http://www.w3.org/2001/XMLSchema-instance" xsi:type="dcterms:W3CDTF">2026-05-13T11:43:41Z</dcterms:modified>
  <cp:lastModifiedBy>Vasu Gupta</cp:lastModifiedBy>
</cp:coreProperties>
</file>